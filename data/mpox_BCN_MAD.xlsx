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Green\Documents\NetworkPaper3\data\"/>
    </mc:Choice>
  </mc:AlternateContent>
  <xr:revisionPtr revIDLastSave="0" documentId="8_{1827CACE-AD6D-420B-90B3-3A3CE267CC0F}" xr6:coauthVersionLast="47" xr6:coauthVersionMax="47" xr10:uidLastSave="{00000000-0000-0000-0000-000000000000}"/>
  <bookViews>
    <workbookView xWindow="-108" yWindow="-108" windowWidth="23256" windowHeight="12456" xr2:uid="{6260B1F5-4268-45CC-8B28-1B821A323AF8}"/>
  </bookViews>
  <sheets>
    <sheet name="Incidence" sheetId="5" r:id="rId1"/>
    <sheet name="Params" sheetId="1" r:id="rId2"/>
    <sheet name="Other" sheetId="2" r:id="rId3"/>
    <sheet name="Madrid" sheetId="3" r:id="rId4"/>
    <sheet name="BCN" sheetId="4" r:id="rId5"/>
  </sheets>
  <calcPr calcId="0"/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3" i="2"/>
  <c r="C27" i="3"/>
  <c r="D27" i="3"/>
  <c r="C46" i="3"/>
  <c r="D46" i="3"/>
  <c r="C47" i="3"/>
  <c r="D47" i="3"/>
  <c r="C23" i="3"/>
  <c r="D23" i="3"/>
  <c r="D12" i="5"/>
  <c r="D16" i="5"/>
  <c r="D23" i="5"/>
  <c r="D24" i="5"/>
  <c r="D26" i="5"/>
  <c r="D28" i="5"/>
  <c r="D29" i="5"/>
  <c r="D30" i="5"/>
  <c r="D31" i="5"/>
  <c r="D32" i="5"/>
  <c r="D33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7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4" i="3"/>
  <c r="D25" i="3"/>
  <c r="D26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4" i="3"/>
  <c r="C25" i="3"/>
  <c r="C26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2" i="2"/>
  <c r="C4" i="5" l="1"/>
  <c r="E4" i="5" s="1"/>
  <c r="C117" i="5"/>
  <c r="E117" i="5" s="1"/>
  <c r="C103" i="5"/>
  <c r="E103" i="5" s="1"/>
  <c r="C89" i="5"/>
  <c r="E89" i="5" s="1"/>
  <c r="C3" i="5"/>
  <c r="D3" i="5" s="1"/>
  <c r="F3" i="5" s="1"/>
  <c r="F117" i="5"/>
  <c r="C32" i="5"/>
  <c r="E32" i="5" s="1"/>
  <c r="C88" i="5"/>
  <c r="E88" i="5" s="1"/>
  <c r="C116" i="5"/>
  <c r="C74" i="5"/>
  <c r="E74" i="5" s="1"/>
  <c r="C17" i="5"/>
  <c r="C46" i="5"/>
  <c r="E46" i="5" s="1"/>
  <c r="C102" i="5"/>
  <c r="E102" i="5" s="1"/>
  <c r="C60" i="5"/>
  <c r="E60" i="5" s="1"/>
  <c r="C75" i="5"/>
  <c r="E75" i="5" s="1"/>
  <c r="C5" i="5"/>
  <c r="C33" i="5"/>
  <c r="E33" i="5" s="1"/>
  <c r="C19" i="5"/>
  <c r="C61" i="5"/>
  <c r="E61" i="5" s="1"/>
  <c r="C8" i="5"/>
  <c r="C47" i="5"/>
  <c r="E47" i="5" s="1"/>
  <c r="C18" i="5"/>
  <c r="C114" i="5"/>
  <c r="C113" i="5"/>
  <c r="C99" i="5"/>
  <c r="C85" i="5"/>
  <c r="C71" i="5"/>
  <c r="C57" i="5"/>
  <c r="C43" i="5"/>
  <c r="C28" i="5"/>
  <c r="C14" i="5"/>
  <c r="C86" i="5"/>
  <c r="C44" i="5"/>
  <c r="C98" i="5"/>
  <c r="C56" i="5"/>
  <c r="C27" i="5"/>
  <c r="C83" i="5"/>
  <c r="C41" i="5"/>
  <c r="C12" i="5"/>
  <c r="E12" i="5" s="1"/>
  <c r="C7" i="5"/>
  <c r="C110" i="5"/>
  <c r="C96" i="5"/>
  <c r="C82" i="5"/>
  <c r="C68" i="5"/>
  <c r="C54" i="5"/>
  <c r="C40" i="5"/>
  <c r="C25" i="5"/>
  <c r="C11" i="5"/>
  <c r="C101" i="5"/>
  <c r="E101" i="5" s="1"/>
  <c r="C73" i="5"/>
  <c r="E73" i="5" s="1"/>
  <c r="C45" i="5"/>
  <c r="E45" i="5" s="1"/>
  <c r="C100" i="5"/>
  <c r="C58" i="5"/>
  <c r="C29" i="5"/>
  <c r="C84" i="5"/>
  <c r="C42" i="5"/>
  <c r="C13" i="5"/>
  <c r="C97" i="5"/>
  <c r="C55" i="5"/>
  <c r="C6" i="5"/>
  <c r="C109" i="5"/>
  <c r="C95" i="5"/>
  <c r="C81" i="5"/>
  <c r="C67" i="5"/>
  <c r="C53" i="5"/>
  <c r="C39" i="5"/>
  <c r="C24" i="5"/>
  <c r="C10" i="5"/>
  <c r="C115" i="5"/>
  <c r="E115" i="5" s="1"/>
  <c r="C87" i="5"/>
  <c r="E87" i="5" s="1"/>
  <c r="C59" i="5"/>
  <c r="E59" i="5" s="1"/>
  <c r="C30" i="5"/>
  <c r="C16" i="5"/>
  <c r="E16" i="5" s="1"/>
  <c r="C72" i="5"/>
  <c r="C15" i="5"/>
  <c r="C112" i="5"/>
  <c r="C70" i="5"/>
  <c r="C111" i="5"/>
  <c r="C69" i="5"/>
  <c r="C26" i="5"/>
  <c r="C108" i="5"/>
  <c r="C94" i="5"/>
  <c r="C80" i="5"/>
  <c r="C66" i="5"/>
  <c r="C52" i="5"/>
  <c r="C38" i="5"/>
  <c r="C23" i="5"/>
  <c r="E23" i="5" s="1"/>
  <c r="C9" i="5"/>
  <c r="C107" i="5"/>
  <c r="E107" i="5" s="1"/>
  <c r="C93" i="5"/>
  <c r="E93" i="5" s="1"/>
  <c r="C79" i="5"/>
  <c r="E79" i="5" s="1"/>
  <c r="C65" i="5"/>
  <c r="E65" i="5" s="1"/>
  <c r="C51" i="5"/>
  <c r="E51" i="5" s="1"/>
  <c r="C37" i="5"/>
  <c r="E37" i="5" s="1"/>
  <c r="C22" i="5"/>
  <c r="C31" i="5"/>
  <c r="E31" i="5" s="1"/>
  <c r="C106" i="5"/>
  <c r="E106" i="5" s="1"/>
  <c r="C92" i="5"/>
  <c r="E92" i="5" s="1"/>
  <c r="C78" i="5"/>
  <c r="E78" i="5" s="1"/>
  <c r="C64" i="5"/>
  <c r="E64" i="5" s="1"/>
  <c r="C50" i="5"/>
  <c r="E50" i="5" s="1"/>
  <c r="C36" i="5"/>
  <c r="E36" i="5" s="1"/>
  <c r="C21" i="5"/>
  <c r="C2" i="5"/>
  <c r="C105" i="5"/>
  <c r="E105" i="5" s="1"/>
  <c r="C91" i="5"/>
  <c r="E91" i="5" s="1"/>
  <c r="C77" i="5"/>
  <c r="E77" i="5" s="1"/>
  <c r="C63" i="5"/>
  <c r="E63" i="5" s="1"/>
  <c r="C49" i="5"/>
  <c r="E49" i="5" s="1"/>
  <c r="C35" i="5"/>
  <c r="E35" i="5" s="1"/>
  <c r="C20" i="5"/>
  <c r="C118" i="5"/>
  <c r="C104" i="5"/>
  <c r="E104" i="5" s="1"/>
  <c r="C90" i="5"/>
  <c r="E90" i="5" s="1"/>
  <c r="C76" i="5"/>
  <c r="E76" i="5" s="1"/>
  <c r="C62" i="5"/>
  <c r="E62" i="5" s="1"/>
  <c r="C48" i="5"/>
  <c r="E48" i="5" s="1"/>
  <c r="C34" i="5"/>
  <c r="D4" i="5" l="1"/>
  <c r="F4" i="5" s="1"/>
  <c r="F60" i="5"/>
  <c r="F102" i="5"/>
  <c r="F48" i="5"/>
  <c r="F36" i="5"/>
  <c r="F59" i="5"/>
  <c r="F78" i="5"/>
  <c r="F88" i="5"/>
  <c r="E3" i="5"/>
  <c r="F89" i="5"/>
  <c r="F103" i="5"/>
  <c r="F37" i="5"/>
  <c r="F61" i="5"/>
  <c r="F51" i="5"/>
  <c r="F75" i="5"/>
  <c r="F65" i="5"/>
  <c r="F79" i="5"/>
  <c r="F93" i="5"/>
  <c r="F104" i="5"/>
  <c r="E82" i="5"/>
  <c r="F82" i="5"/>
  <c r="E80" i="5"/>
  <c r="F80" i="5"/>
  <c r="E57" i="5"/>
  <c r="F57" i="5"/>
  <c r="F92" i="5"/>
  <c r="F94" i="5"/>
  <c r="E94" i="5"/>
  <c r="E71" i="5"/>
  <c r="F71" i="5"/>
  <c r="F106" i="5"/>
  <c r="D22" i="5"/>
  <c r="F22" i="5" s="1"/>
  <c r="E22" i="5"/>
  <c r="E29" i="5"/>
  <c r="F29" i="5"/>
  <c r="D7" i="5"/>
  <c r="F7" i="5" s="1"/>
  <c r="E7" i="5"/>
  <c r="E85" i="5"/>
  <c r="F85" i="5"/>
  <c r="E26" i="5"/>
  <c r="F26" i="5"/>
  <c r="E24" i="5"/>
  <c r="F24" i="5"/>
  <c r="F58" i="5"/>
  <c r="E58" i="5"/>
  <c r="E99" i="5"/>
  <c r="F99" i="5"/>
  <c r="D5" i="5"/>
  <c r="F5" i="5" s="1"/>
  <c r="E5" i="5"/>
  <c r="F32" i="5"/>
  <c r="E69" i="5"/>
  <c r="F69" i="5"/>
  <c r="F39" i="5"/>
  <c r="E39" i="5"/>
  <c r="F100" i="5"/>
  <c r="E100" i="5"/>
  <c r="E41" i="5"/>
  <c r="F41" i="5"/>
  <c r="E113" i="5"/>
  <c r="F113" i="5"/>
  <c r="F107" i="5"/>
  <c r="F12" i="5"/>
  <c r="F45" i="5"/>
  <c r="F47" i="5"/>
  <c r="E43" i="5"/>
  <c r="F43" i="5"/>
  <c r="F74" i="5"/>
  <c r="D20" i="5"/>
  <c r="F20" i="5" s="1"/>
  <c r="E20" i="5"/>
  <c r="E96" i="5"/>
  <c r="F96" i="5"/>
  <c r="E110" i="5"/>
  <c r="F110" i="5"/>
  <c r="E111" i="5"/>
  <c r="F111" i="5"/>
  <c r="F114" i="5"/>
  <c r="E114" i="5"/>
  <c r="F23" i="5"/>
  <c r="F67" i="5"/>
  <c r="E67" i="5"/>
  <c r="F35" i="5"/>
  <c r="D2" i="5"/>
  <c r="F2" i="5" s="1"/>
  <c r="E2" i="5"/>
  <c r="E112" i="5"/>
  <c r="F112" i="5"/>
  <c r="F81" i="5"/>
  <c r="E81" i="5"/>
  <c r="F16" i="5"/>
  <c r="D15" i="5"/>
  <c r="F15" i="5" s="1"/>
  <c r="E15" i="5"/>
  <c r="F95" i="5"/>
  <c r="E95" i="5"/>
  <c r="D11" i="5"/>
  <c r="F11" i="5" s="1"/>
  <c r="E11" i="5"/>
  <c r="E98" i="5"/>
  <c r="F98" i="5"/>
  <c r="F63" i="5"/>
  <c r="D19" i="5"/>
  <c r="F19" i="5" s="1"/>
  <c r="E19" i="5"/>
  <c r="F101" i="5"/>
  <c r="E66" i="5"/>
  <c r="F66" i="5"/>
  <c r="D13" i="5"/>
  <c r="F13" i="5" s="1"/>
  <c r="E13" i="5"/>
  <c r="D116" i="5"/>
  <c r="F116" i="5" s="1"/>
  <c r="E116" i="5"/>
  <c r="E84" i="5"/>
  <c r="F84" i="5"/>
  <c r="F108" i="5"/>
  <c r="E108" i="5"/>
  <c r="D10" i="5"/>
  <c r="F10" i="5" s="1"/>
  <c r="E10" i="5"/>
  <c r="F53" i="5"/>
  <c r="E53" i="5"/>
  <c r="E83" i="5"/>
  <c r="F83" i="5"/>
  <c r="E70" i="5"/>
  <c r="F70" i="5"/>
  <c r="E27" i="5"/>
  <c r="D27" i="5"/>
  <c r="F27" i="5" s="1"/>
  <c r="D8" i="5"/>
  <c r="F8" i="5" s="1"/>
  <c r="E8" i="5"/>
  <c r="F76" i="5"/>
  <c r="F73" i="5"/>
  <c r="D34" i="5"/>
  <c r="F34" i="5" s="1"/>
  <c r="E34" i="5"/>
  <c r="E56" i="5"/>
  <c r="F56" i="5"/>
  <c r="F49" i="5"/>
  <c r="F87" i="5"/>
  <c r="D21" i="5"/>
  <c r="F21" i="5" s="1"/>
  <c r="E21" i="5"/>
  <c r="D9" i="5"/>
  <c r="F9" i="5" s="1"/>
  <c r="E9" i="5"/>
  <c r="F72" i="5"/>
  <c r="E72" i="5"/>
  <c r="F109" i="5"/>
  <c r="E109" i="5"/>
  <c r="D25" i="5"/>
  <c r="F25" i="5" s="1"/>
  <c r="E25" i="5"/>
  <c r="F44" i="5"/>
  <c r="E44" i="5"/>
  <c r="F77" i="5"/>
  <c r="F62" i="5"/>
  <c r="F115" i="5"/>
  <c r="E118" i="5"/>
  <c r="D118" i="5"/>
  <c r="F118" i="5" s="1"/>
  <c r="E42" i="5"/>
  <c r="F42" i="5"/>
  <c r="D6" i="5"/>
  <c r="F6" i="5" s="1"/>
  <c r="E6" i="5"/>
  <c r="E40" i="5"/>
  <c r="F40" i="5"/>
  <c r="F86" i="5"/>
  <c r="E86" i="5"/>
  <c r="F91" i="5"/>
  <c r="F31" i="5"/>
  <c r="E38" i="5"/>
  <c r="F38" i="5"/>
  <c r="F30" i="5"/>
  <c r="E30" i="5"/>
  <c r="E55" i="5"/>
  <c r="F55" i="5"/>
  <c r="E54" i="5"/>
  <c r="F54" i="5"/>
  <c r="D14" i="5"/>
  <c r="F14" i="5" s="1"/>
  <c r="E14" i="5"/>
  <c r="F105" i="5"/>
  <c r="F50" i="5"/>
  <c r="F46" i="5"/>
  <c r="F33" i="5"/>
  <c r="F52" i="5"/>
  <c r="E52" i="5"/>
  <c r="E97" i="5"/>
  <c r="F97" i="5"/>
  <c r="E68" i="5"/>
  <c r="F68" i="5"/>
  <c r="E28" i="5"/>
  <c r="F28" i="5"/>
  <c r="D18" i="5"/>
  <c r="F18" i="5" s="1"/>
  <c r="E18" i="5"/>
  <c r="F64" i="5"/>
  <c r="D17" i="5"/>
  <c r="F17" i="5" s="1"/>
  <c r="E17" i="5"/>
  <c r="F90" i="5"/>
</calcChain>
</file>

<file path=xl/sharedStrings.xml><?xml version="1.0" encoding="utf-8"?>
<sst xmlns="http://schemas.openxmlformats.org/spreadsheetml/2006/main" count="19" uniqueCount="9">
  <si>
    <t>Day</t>
  </si>
  <si>
    <t>Date</t>
  </si>
  <si>
    <t>Start date</t>
  </si>
  <si>
    <t>Height</t>
  </si>
  <si>
    <t>Barcelona</t>
  </si>
  <si>
    <t>Madrid</t>
  </si>
  <si>
    <t>Madrid_height</t>
  </si>
  <si>
    <t>Barcelona_height</t>
  </si>
  <si>
    <t>Other_height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</si>
</sst>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Incidence!$A$2:$A$118</c:f>
              <c:numCache>
                <c:formatCode>m/d/yyyy</c:formatCode>
                <c:ptCount val="117"/>
                <c:pt idx="0">
                  <c:v>44667</c:v>
                </c:pt>
                <c:pt idx="1">
                  <c:v>44668</c:v>
                </c:pt>
                <c:pt idx="2">
                  <c:v>44669</c:v>
                </c:pt>
                <c:pt idx="3">
                  <c:v>44670</c:v>
                </c:pt>
                <c:pt idx="4">
                  <c:v>44671</c:v>
                </c:pt>
                <c:pt idx="5">
                  <c:v>44672</c:v>
                </c:pt>
                <c:pt idx="6">
                  <c:v>44673</c:v>
                </c:pt>
                <c:pt idx="7">
                  <c:v>44674</c:v>
                </c:pt>
                <c:pt idx="8">
                  <c:v>44675</c:v>
                </c:pt>
                <c:pt idx="9">
                  <c:v>44676</c:v>
                </c:pt>
                <c:pt idx="10">
                  <c:v>44677</c:v>
                </c:pt>
                <c:pt idx="11">
                  <c:v>44678</c:v>
                </c:pt>
                <c:pt idx="12">
                  <c:v>44679</c:v>
                </c:pt>
                <c:pt idx="13">
                  <c:v>44680</c:v>
                </c:pt>
                <c:pt idx="14">
                  <c:v>44681</c:v>
                </c:pt>
                <c:pt idx="15">
                  <c:v>44682</c:v>
                </c:pt>
                <c:pt idx="16">
                  <c:v>44683</c:v>
                </c:pt>
                <c:pt idx="17">
                  <c:v>44684</c:v>
                </c:pt>
                <c:pt idx="18">
                  <c:v>44685</c:v>
                </c:pt>
                <c:pt idx="19">
                  <c:v>44686</c:v>
                </c:pt>
                <c:pt idx="20">
                  <c:v>44687</c:v>
                </c:pt>
                <c:pt idx="21">
                  <c:v>44688</c:v>
                </c:pt>
                <c:pt idx="22">
                  <c:v>44689</c:v>
                </c:pt>
                <c:pt idx="23">
                  <c:v>44690</c:v>
                </c:pt>
                <c:pt idx="24">
                  <c:v>44691</c:v>
                </c:pt>
                <c:pt idx="25">
                  <c:v>44692</c:v>
                </c:pt>
                <c:pt idx="26">
                  <c:v>44693</c:v>
                </c:pt>
                <c:pt idx="27">
                  <c:v>44694</c:v>
                </c:pt>
                <c:pt idx="28">
                  <c:v>44695</c:v>
                </c:pt>
                <c:pt idx="29">
                  <c:v>44696</c:v>
                </c:pt>
                <c:pt idx="30">
                  <c:v>44697</c:v>
                </c:pt>
                <c:pt idx="31">
                  <c:v>44698</c:v>
                </c:pt>
                <c:pt idx="32">
                  <c:v>44699</c:v>
                </c:pt>
                <c:pt idx="33">
                  <c:v>44700</c:v>
                </c:pt>
                <c:pt idx="34">
                  <c:v>44701</c:v>
                </c:pt>
                <c:pt idx="35">
                  <c:v>44702</c:v>
                </c:pt>
                <c:pt idx="36">
                  <c:v>44703</c:v>
                </c:pt>
                <c:pt idx="37">
                  <c:v>44704</c:v>
                </c:pt>
                <c:pt idx="38">
                  <c:v>44705</c:v>
                </c:pt>
                <c:pt idx="39">
                  <c:v>44706</c:v>
                </c:pt>
                <c:pt idx="40">
                  <c:v>44707</c:v>
                </c:pt>
                <c:pt idx="41">
                  <c:v>44708</c:v>
                </c:pt>
                <c:pt idx="42">
                  <c:v>44709</c:v>
                </c:pt>
                <c:pt idx="43">
                  <c:v>44710</c:v>
                </c:pt>
                <c:pt idx="44">
                  <c:v>44711</c:v>
                </c:pt>
                <c:pt idx="45">
                  <c:v>44712</c:v>
                </c:pt>
                <c:pt idx="46">
                  <c:v>44713</c:v>
                </c:pt>
                <c:pt idx="47">
                  <c:v>44714</c:v>
                </c:pt>
                <c:pt idx="48">
                  <c:v>44715</c:v>
                </c:pt>
                <c:pt idx="49">
                  <c:v>44716</c:v>
                </c:pt>
                <c:pt idx="50">
                  <c:v>44717</c:v>
                </c:pt>
                <c:pt idx="51">
                  <c:v>44718</c:v>
                </c:pt>
                <c:pt idx="52">
                  <c:v>44719</c:v>
                </c:pt>
                <c:pt idx="53">
                  <c:v>44720</c:v>
                </c:pt>
                <c:pt idx="54">
                  <c:v>44721</c:v>
                </c:pt>
                <c:pt idx="55">
                  <c:v>44722</c:v>
                </c:pt>
                <c:pt idx="56">
                  <c:v>44723</c:v>
                </c:pt>
                <c:pt idx="57">
                  <c:v>44724</c:v>
                </c:pt>
                <c:pt idx="58">
                  <c:v>44725</c:v>
                </c:pt>
                <c:pt idx="59">
                  <c:v>44726</c:v>
                </c:pt>
                <c:pt idx="60">
                  <c:v>44727</c:v>
                </c:pt>
                <c:pt idx="61">
                  <c:v>44728</c:v>
                </c:pt>
                <c:pt idx="62">
                  <c:v>44729</c:v>
                </c:pt>
                <c:pt idx="63">
                  <c:v>44730</c:v>
                </c:pt>
                <c:pt idx="64">
                  <c:v>44731</c:v>
                </c:pt>
                <c:pt idx="65">
                  <c:v>44732</c:v>
                </c:pt>
                <c:pt idx="66">
                  <c:v>44733</c:v>
                </c:pt>
                <c:pt idx="67">
                  <c:v>44734</c:v>
                </c:pt>
                <c:pt idx="68">
                  <c:v>44735</c:v>
                </c:pt>
                <c:pt idx="69">
                  <c:v>44736</c:v>
                </c:pt>
                <c:pt idx="70">
                  <c:v>44737</c:v>
                </c:pt>
                <c:pt idx="71">
                  <c:v>44738</c:v>
                </c:pt>
                <c:pt idx="72">
                  <c:v>44739</c:v>
                </c:pt>
                <c:pt idx="73">
                  <c:v>44740</c:v>
                </c:pt>
                <c:pt idx="74">
                  <c:v>44741</c:v>
                </c:pt>
                <c:pt idx="75">
                  <c:v>44742</c:v>
                </c:pt>
                <c:pt idx="76">
                  <c:v>44743</c:v>
                </c:pt>
                <c:pt idx="77">
                  <c:v>44744</c:v>
                </c:pt>
                <c:pt idx="78">
                  <c:v>44745</c:v>
                </c:pt>
                <c:pt idx="79">
                  <c:v>44746</c:v>
                </c:pt>
                <c:pt idx="80">
                  <c:v>44747</c:v>
                </c:pt>
                <c:pt idx="81">
                  <c:v>44748</c:v>
                </c:pt>
                <c:pt idx="82">
                  <c:v>44749</c:v>
                </c:pt>
                <c:pt idx="83">
                  <c:v>44750</c:v>
                </c:pt>
                <c:pt idx="84">
                  <c:v>44751</c:v>
                </c:pt>
                <c:pt idx="85">
                  <c:v>44752</c:v>
                </c:pt>
                <c:pt idx="86">
                  <c:v>44753</c:v>
                </c:pt>
                <c:pt idx="87">
                  <c:v>44754</c:v>
                </c:pt>
                <c:pt idx="88">
                  <c:v>44755</c:v>
                </c:pt>
                <c:pt idx="89">
                  <c:v>44756</c:v>
                </c:pt>
                <c:pt idx="90">
                  <c:v>44757</c:v>
                </c:pt>
                <c:pt idx="91">
                  <c:v>44758</c:v>
                </c:pt>
                <c:pt idx="92">
                  <c:v>44759</c:v>
                </c:pt>
                <c:pt idx="93">
                  <c:v>44760</c:v>
                </c:pt>
                <c:pt idx="94">
                  <c:v>44761</c:v>
                </c:pt>
                <c:pt idx="95">
                  <c:v>44762</c:v>
                </c:pt>
                <c:pt idx="96">
                  <c:v>44763</c:v>
                </c:pt>
                <c:pt idx="97">
                  <c:v>44764</c:v>
                </c:pt>
                <c:pt idx="98">
                  <c:v>44765</c:v>
                </c:pt>
                <c:pt idx="99">
                  <c:v>44766</c:v>
                </c:pt>
                <c:pt idx="100">
                  <c:v>44767</c:v>
                </c:pt>
                <c:pt idx="101">
                  <c:v>44768</c:v>
                </c:pt>
                <c:pt idx="102">
                  <c:v>44769</c:v>
                </c:pt>
                <c:pt idx="103">
                  <c:v>44770</c:v>
                </c:pt>
                <c:pt idx="104">
                  <c:v>44771</c:v>
                </c:pt>
                <c:pt idx="105">
                  <c:v>44772</c:v>
                </c:pt>
                <c:pt idx="106">
                  <c:v>44773</c:v>
                </c:pt>
                <c:pt idx="107">
                  <c:v>44774</c:v>
                </c:pt>
                <c:pt idx="108">
                  <c:v>44775</c:v>
                </c:pt>
                <c:pt idx="109">
                  <c:v>44776</c:v>
                </c:pt>
                <c:pt idx="110">
                  <c:v>44777</c:v>
                </c:pt>
                <c:pt idx="111">
                  <c:v>44778</c:v>
                </c:pt>
                <c:pt idx="112">
                  <c:v>44779</c:v>
                </c:pt>
                <c:pt idx="113">
                  <c:v>44780</c:v>
                </c:pt>
                <c:pt idx="114">
                  <c:v>44781</c:v>
                </c:pt>
                <c:pt idx="115">
                  <c:v>44782</c:v>
                </c:pt>
                <c:pt idx="116">
                  <c:v>44783</c:v>
                </c:pt>
              </c:numCache>
            </c:numRef>
          </c:cat>
          <c:val>
            <c:numRef>
              <c:f>Incidence!$E$2:$E$118</c:f>
              <c:numCache>
                <c:formatCode>0</c:formatCode>
                <c:ptCount val="11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10</c:v>
                </c:pt>
                <c:pt idx="18">
                  <c:v>6</c:v>
                </c:pt>
                <c:pt idx="19">
                  <c:v>2</c:v>
                </c:pt>
                <c:pt idx="20">
                  <c:v>7</c:v>
                </c:pt>
                <c:pt idx="21">
                  <c:v>5</c:v>
                </c:pt>
                <c:pt idx="22">
                  <c:v>7</c:v>
                </c:pt>
                <c:pt idx="23">
                  <c:v>8</c:v>
                </c:pt>
                <c:pt idx="24">
                  <c:v>10</c:v>
                </c:pt>
                <c:pt idx="25">
                  <c:v>9</c:v>
                </c:pt>
                <c:pt idx="26">
                  <c:v>13</c:v>
                </c:pt>
                <c:pt idx="27">
                  <c:v>12</c:v>
                </c:pt>
                <c:pt idx="28">
                  <c:v>12</c:v>
                </c:pt>
                <c:pt idx="29">
                  <c:v>5</c:v>
                </c:pt>
                <c:pt idx="30">
                  <c:v>19</c:v>
                </c:pt>
                <c:pt idx="31">
                  <c:v>8</c:v>
                </c:pt>
                <c:pt idx="32">
                  <c:v>13</c:v>
                </c:pt>
                <c:pt idx="33">
                  <c:v>11</c:v>
                </c:pt>
                <c:pt idx="34">
                  <c:v>12</c:v>
                </c:pt>
                <c:pt idx="35">
                  <c:v>14</c:v>
                </c:pt>
                <c:pt idx="36">
                  <c:v>24</c:v>
                </c:pt>
                <c:pt idx="37">
                  <c:v>35</c:v>
                </c:pt>
                <c:pt idx="38">
                  <c:v>24</c:v>
                </c:pt>
                <c:pt idx="39">
                  <c:v>25</c:v>
                </c:pt>
                <c:pt idx="40">
                  <c:v>16</c:v>
                </c:pt>
                <c:pt idx="41">
                  <c:v>19</c:v>
                </c:pt>
                <c:pt idx="42">
                  <c:v>25</c:v>
                </c:pt>
                <c:pt idx="43">
                  <c:v>30</c:v>
                </c:pt>
                <c:pt idx="44">
                  <c:v>17</c:v>
                </c:pt>
                <c:pt idx="45">
                  <c:v>24</c:v>
                </c:pt>
                <c:pt idx="46">
                  <c:v>27</c:v>
                </c:pt>
                <c:pt idx="47">
                  <c:v>26</c:v>
                </c:pt>
                <c:pt idx="48">
                  <c:v>30</c:v>
                </c:pt>
                <c:pt idx="49">
                  <c:v>38</c:v>
                </c:pt>
                <c:pt idx="50">
                  <c:v>18</c:v>
                </c:pt>
                <c:pt idx="51">
                  <c:v>26</c:v>
                </c:pt>
                <c:pt idx="52">
                  <c:v>38</c:v>
                </c:pt>
                <c:pt idx="53">
                  <c:v>37</c:v>
                </c:pt>
                <c:pt idx="54">
                  <c:v>28</c:v>
                </c:pt>
                <c:pt idx="55">
                  <c:v>36</c:v>
                </c:pt>
                <c:pt idx="56">
                  <c:v>41</c:v>
                </c:pt>
                <c:pt idx="57">
                  <c:v>42</c:v>
                </c:pt>
                <c:pt idx="58">
                  <c:v>32</c:v>
                </c:pt>
                <c:pt idx="59">
                  <c:v>29</c:v>
                </c:pt>
                <c:pt idx="60">
                  <c:v>22</c:v>
                </c:pt>
                <c:pt idx="61">
                  <c:v>31</c:v>
                </c:pt>
                <c:pt idx="62">
                  <c:v>29</c:v>
                </c:pt>
                <c:pt idx="63">
                  <c:v>37</c:v>
                </c:pt>
                <c:pt idx="64">
                  <c:v>39</c:v>
                </c:pt>
                <c:pt idx="65">
                  <c:v>22</c:v>
                </c:pt>
                <c:pt idx="66">
                  <c:v>37</c:v>
                </c:pt>
                <c:pt idx="67">
                  <c:v>39</c:v>
                </c:pt>
                <c:pt idx="68">
                  <c:v>25</c:v>
                </c:pt>
                <c:pt idx="69">
                  <c:v>30</c:v>
                </c:pt>
                <c:pt idx="70">
                  <c:v>46</c:v>
                </c:pt>
                <c:pt idx="71">
                  <c:v>48</c:v>
                </c:pt>
                <c:pt idx="72">
                  <c:v>29</c:v>
                </c:pt>
                <c:pt idx="73">
                  <c:v>36</c:v>
                </c:pt>
                <c:pt idx="74">
                  <c:v>32</c:v>
                </c:pt>
                <c:pt idx="75">
                  <c:v>16</c:v>
                </c:pt>
                <c:pt idx="76">
                  <c:v>35</c:v>
                </c:pt>
                <c:pt idx="77">
                  <c:v>36</c:v>
                </c:pt>
                <c:pt idx="78">
                  <c:v>36</c:v>
                </c:pt>
                <c:pt idx="79">
                  <c:v>31</c:v>
                </c:pt>
                <c:pt idx="80">
                  <c:v>34</c:v>
                </c:pt>
                <c:pt idx="81">
                  <c:v>28</c:v>
                </c:pt>
                <c:pt idx="82">
                  <c:v>33</c:v>
                </c:pt>
                <c:pt idx="83">
                  <c:v>17</c:v>
                </c:pt>
                <c:pt idx="84">
                  <c:v>22</c:v>
                </c:pt>
                <c:pt idx="85">
                  <c:v>27</c:v>
                </c:pt>
                <c:pt idx="86">
                  <c:v>30</c:v>
                </c:pt>
                <c:pt idx="87">
                  <c:v>21</c:v>
                </c:pt>
                <c:pt idx="88">
                  <c:v>33</c:v>
                </c:pt>
                <c:pt idx="89">
                  <c:v>20</c:v>
                </c:pt>
                <c:pt idx="90">
                  <c:v>24</c:v>
                </c:pt>
                <c:pt idx="91">
                  <c:v>26</c:v>
                </c:pt>
                <c:pt idx="92">
                  <c:v>23</c:v>
                </c:pt>
                <c:pt idx="93">
                  <c:v>20</c:v>
                </c:pt>
                <c:pt idx="94">
                  <c:v>25</c:v>
                </c:pt>
                <c:pt idx="95">
                  <c:v>15</c:v>
                </c:pt>
                <c:pt idx="96">
                  <c:v>24</c:v>
                </c:pt>
                <c:pt idx="97">
                  <c:v>18</c:v>
                </c:pt>
                <c:pt idx="98">
                  <c:v>26</c:v>
                </c:pt>
                <c:pt idx="99">
                  <c:v>25</c:v>
                </c:pt>
                <c:pt idx="100">
                  <c:v>11</c:v>
                </c:pt>
                <c:pt idx="101">
                  <c:v>7</c:v>
                </c:pt>
                <c:pt idx="102">
                  <c:v>13</c:v>
                </c:pt>
                <c:pt idx="103">
                  <c:v>12</c:v>
                </c:pt>
                <c:pt idx="104">
                  <c:v>13</c:v>
                </c:pt>
                <c:pt idx="105">
                  <c:v>11</c:v>
                </c:pt>
                <c:pt idx="106">
                  <c:v>11</c:v>
                </c:pt>
                <c:pt idx="107">
                  <c:v>10</c:v>
                </c:pt>
                <c:pt idx="108">
                  <c:v>9</c:v>
                </c:pt>
                <c:pt idx="109">
                  <c:v>8</c:v>
                </c:pt>
                <c:pt idx="110">
                  <c:v>8</c:v>
                </c:pt>
                <c:pt idx="111">
                  <c:v>6</c:v>
                </c:pt>
                <c:pt idx="112">
                  <c:v>2</c:v>
                </c:pt>
                <c:pt idx="113">
                  <c:v>2</c:v>
                </c:pt>
                <c:pt idx="114">
                  <c:v>5</c:v>
                </c:pt>
                <c:pt idx="115">
                  <c:v>4</c:v>
                </c:pt>
                <c:pt idx="1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86-4B2D-BB03-5628FE976E9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Incidence!$A$2:$A$118</c:f>
              <c:numCache>
                <c:formatCode>m/d/yyyy</c:formatCode>
                <c:ptCount val="117"/>
                <c:pt idx="0">
                  <c:v>44667</c:v>
                </c:pt>
                <c:pt idx="1">
                  <c:v>44668</c:v>
                </c:pt>
                <c:pt idx="2">
                  <c:v>44669</c:v>
                </c:pt>
                <c:pt idx="3">
                  <c:v>44670</c:v>
                </c:pt>
                <c:pt idx="4">
                  <c:v>44671</c:v>
                </c:pt>
                <c:pt idx="5">
                  <c:v>44672</c:v>
                </c:pt>
                <c:pt idx="6">
                  <c:v>44673</c:v>
                </c:pt>
                <c:pt idx="7">
                  <c:v>44674</c:v>
                </c:pt>
                <c:pt idx="8">
                  <c:v>44675</c:v>
                </c:pt>
                <c:pt idx="9">
                  <c:v>44676</c:v>
                </c:pt>
                <c:pt idx="10">
                  <c:v>44677</c:v>
                </c:pt>
                <c:pt idx="11">
                  <c:v>44678</c:v>
                </c:pt>
                <c:pt idx="12">
                  <c:v>44679</c:v>
                </c:pt>
                <c:pt idx="13">
                  <c:v>44680</c:v>
                </c:pt>
                <c:pt idx="14">
                  <c:v>44681</c:v>
                </c:pt>
                <c:pt idx="15">
                  <c:v>44682</c:v>
                </c:pt>
                <c:pt idx="16">
                  <c:v>44683</c:v>
                </c:pt>
                <c:pt idx="17">
                  <c:v>44684</c:v>
                </c:pt>
                <c:pt idx="18">
                  <c:v>44685</c:v>
                </c:pt>
                <c:pt idx="19">
                  <c:v>44686</c:v>
                </c:pt>
                <c:pt idx="20">
                  <c:v>44687</c:v>
                </c:pt>
                <c:pt idx="21">
                  <c:v>44688</c:v>
                </c:pt>
                <c:pt idx="22">
                  <c:v>44689</c:v>
                </c:pt>
                <c:pt idx="23">
                  <c:v>44690</c:v>
                </c:pt>
                <c:pt idx="24">
                  <c:v>44691</c:v>
                </c:pt>
                <c:pt idx="25">
                  <c:v>44692</c:v>
                </c:pt>
                <c:pt idx="26">
                  <c:v>44693</c:v>
                </c:pt>
                <c:pt idx="27">
                  <c:v>44694</c:v>
                </c:pt>
                <c:pt idx="28">
                  <c:v>44695</c:v>
                </c:pt>
                <c:pt idx="29">
                  <c:v>44696</c:v>
                </c:pt>
                <c:pt idx="30">
                  <c:v>44697</c:v>
                </c:pt>
                <c:pt idx="31">
                  <c:v>44698</c:v>
                </c:pt>
                <c:pt idx="32">
                  <c:v>44699</c:v>
                </c:pt>
                <c:pt idx="33">
                  <c:v>44700</c:v>
                </c:pt>
                <c:pt idx="34">
                  <c:v>44701</c:v>
                </c:pt>
                <c:pt idx="35">
                  <c:v>44702</c:v>
                </c:pt>
                <c:pt idx="36">
                  <c:v>44703</c:v>
                </c:pt>
                <c:pt idx="37">
                  <c:v>44704</c:v>
                </c:pt>
                <c:pt idx="38">
                  <c:v>44705</c:v>
                </c:pt>
                <c:pt idx="39">
                  <c:v>44706</c:v>
                </c:pt>
                <c:pt idx="40">
                  <c:v>44707</c:v>
                </c:pt>
                <c:pt idx="41">
                  <c:v>44708</c:v>
                </c:pt>
                <c:pt idx="42">
                  <c:v>44709</c:v>
                </c:pt>
                <c:pt idx="43">
                  <c:v>44710</c:v>
                </c:pt>
                <c:pt idx="44">
                  <c:v>44711</c:v>
                </c:pt>
                <c:pt idx="45">
                  <c:v>44712</c:v>
                </c:pt>
                <c:pt idx="46">
                  <c:v>44713</c:v>
                </c:pt>
                <c:pt idx="47">
                  <c:v>44714</c:v>
                </c:pt>
                <c:pt idx="48">
                  <c:v>44715</c:v>
                </c:pt>
                <c:pt idx="49">
                  <c:v>44716</c:v>
                </c:pt>
                <c:pt idx="50">
                  <c:v>44717</c:v>
                </c:pt>
                <c:pt idx="51">
                  <c:v>44718</c:v>
                </c:pt>
                <c:pt idx="52">
                  <c:v>44719</c:v>
                </c:pt>
                <c:pt idx="53">
                  <c:v>44720</c:v>
                </c:pt>
                <c:pt idx="54">
                  <c:v>44721</c:v>
                </c:pt>
                <c:pt idx="55">
                  <c:v>44722</c:v>
                </c:pt>
                <c:pt idx="56">
                  <c:v>44723</c:v>
                </c:pt>
                <c:pt idx="57">
                  <c:v>44724</c:v>
                </c:pt>
                <c:pt idx="58">
                  <c:v>44725</c:v>
                </c:pt>
                <c:pt idx="59">
                  <c:v>44726</c:v>
                </c:pt>
                <c:pt idx="60">
                  <c:v>44727</c:v>
                </c:pt>
                <c:pt idx="61">
                  <c:v>44728</c:v>
                </c:pt>
                <c:pt idx="62">
                  <c:v>44729</c:v>
                </c:pt>
                <c:pt idx="63">
                  <c:v>44730</c:v>
                </c:pt>
                <c:pt idx="64">
                  <c:v>44731</c:v>
                </c:pt>
                <c:pt idx="65">
                  <c:v>44732</c:v>
                </c:pt>
                <c:pt idx="66">
                  <c:v>44733</c:v>
                </c:pt>
                <c:pt idx="67">
                  <c:v>44734</c:v>
                </c:pt>
                <c:pt idx="68">
                  <c:v>44735</c:v>
                </c:pt>
                <c:pt idx="69">
                  <c:v>44736</c:v>
                </c:pt>
                <c:pt idx="70">
                  <c:v>44737</c:v>
                </c:pt>
                <c:pt idx="71">
                  <c:v>44738</c:v>
                </c:pt>
                <c:pt idx="72">
                  <c:v>44739</c:v>
                </c:pt>
                <c:pt idx="73">
                  <c:v>44740</c:v>
                </c:pt>
                <c:pt idx="74">
                  <c:v>44741</c:v>
                </c:pt>
                <c:pt idx="75">
                  <c:v>44742</c:v>
                </c:pt>
                <c:pt idx="76">
                  <c:v>44743</c:v>
                </c:pt>
                <c:pt idx="77">
                  <c:v>44744</c:v>
                </c:pt>
                <c:pt idx="78">
                  <c:v>44745</c:v>
                </c:pt>
                <c:pt idx="79">
                  <c:v>44746</c:v>
                </c:pt>
                <c:pt idx="80">
                  <c:v>44747</c:v>
                </c:pt>
                <c:pt idx="81">
                  <c:v>44748</c:v>
                </c:pt>
                <c:pt idx="82">
                  <c:v>44749</c:v>
                </c:pt>
                <c:pt idx="83">
                  <c:v>44750</c:v>
                </c:pt>
                <c:pt idx="84">
                  <c:v>44751</c:v>
                </c:pt>
                <c:pt idx="85">
                  <c:v>44752</c:v>
                </c:pt>
                <c:pt idx="86">
                  <c:v>44753</c:v>
                </c:pt>
                <c:pt idx="87">
                  <c:v>44754</c:v>
                </c:pt>
                <c:pt idx="88">
                  <c:v>44755</c:v>
                </c:pt>
                <c:pt idx="89">
                  <c:v>44756</c:v>
                </c:pt>
                <c:pt idx="90">
                  <c:v>44757</c:v>
                </c:pt>
                <c:pt idx="91">
                  <c:v>44758</c:v>
                </c:pt>
                <c:pt idx="92">
                  <c:v>44759</c:v>
                </c:pt>
                <c:pt idx="93">
                  <c:v>44760</c:v>
                </c:pt>
                <c:pt idx="94">
                  <c:v>44761</c:v>
                </c:pt>
                <c:pt idx="95">
                  <c:v>44762</c:v>
                </c:pt>
                <c:pt idx="96">
                  <c:v>44763</c:v>
                </c:pt>
                <c:pt idx="97">
                  <c:v>44764</c:v>
                </c:pt>
                <c:pt idx="98">
                  <c:v>44765</c:v>
                </c:pt>
                <c:pt idx="99">
                  <c:v>44766</c:v>
                </c:pt>
                <c:pt idx="100">
                  <c:v>44767</c:v>
                </c:pt>
                <c:pt idx="101">
                  <c:v>44768</c:v>
                </c:pt>
                <c:pt idx="102">
                  <c:v>44769</c:v>
                </c:pt>
                <c:pt idx="103">
                  <c:v>44770</c:v>
                </c:pt>
                <c:pt idx="104">
                  <c:v>44771</c:v>
                </c:pt>
                <c:pt idx="105">
                  <c:v>44772</c:v>
                </c:pt>
                <c:pt idx="106">
                  <c:v>44773</c:v>
                </c:pt>
                <c:pt idx="107">
                  <c:v>44774</c:v>
                </c:pt>
                <c:pt idx="108">
                  <c:v>44775</c:v>
                </c:pt>
                <c:pt idx="109">
                  <c:v>44776</c:v>
                </c:pt>
                <c:pt idx="110">
                  <c:v>44777</c:v>
                </c:pt>
                <c:pt idx="111">
                  <c:v>44778</c:v>
                </c:pt>
                <c:pt idx="112">
                  <c:v>44779</c:v>
                </c:pt>
                <c:pt idx="113">
                  <c:v>44780</c:v>
                </c:pt>
                <c:pt idx="114">
                  <c:v>44781</c:v>
                </c:pt>
                <c:pt idx="115">
                  <c:v>44782</c:v>
                </c:pt>
                <c:pt idx="116">
                  <c:v>44783</c:v>
                </c:pt>
              </c:numCache>
            </c:numRef>
          </c:cat>
          <c:val>
            <c:numRef>
              <c:f>Incidence!$F$2:$F$118</c:f>
              <c:numCache>
                <c:formatCode>0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1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1</c:v>
                </c:pt>
                <c:pt idx="27">
                  <c:v>4</c:v>
                </c:pt>
                <c:pt idx="28">
                  <c:v>1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  <c:pt idx="32">
                  <c:v>0</c:v>
                </c:pt>
                <c:pt idx="33">
                  <c:v>3</c:v>
                </c:pt>
                <c:pt idx="34">
                  <c:v>1</c:v>
                </c:pt>
                <c:pt idx="35">
                  <c:v>7</c:v>
                </c:pt>
                <c:pt idx="36">
                  <c:v>2</c:v>
                </c:pt>
                <c:pt idx="37">
                  <c:v>8</c:v>
                </c:pt>
                <c:pt idx="38">
                  <c:v>4</c:v>
                </c:pt>
                <c:pt idx="39">
                  <c:v>6</c:v>
                </c:pt>
                <c:pt idx="40">
                  <c:v>4</c:v>
                </c:pt>
                <c:pt idx="41">
                  <c:v>7</c:v>
                </c:pt>
                <c:pt idx="42">
                  <c:v>7</c:v>
                </c:pt>
                <c:pt idx="43">
                  <c:v>9</c:v>
                </c:pt>
                <c:pt idx="44">
                  <c:v>13</c:v>
                </c:pt>
                <c:pt idx="45">
                  <c:v>8</c:v>
                </c:pt>
                <c:pt idx="46">
                  <c:v>12</c:v>
                </c:pt>
                <c:pt idx="47">
                  <c:v>13</c:v>
                </c:pt>
                <c:pt idx="48">
                  <c:v>17</c:v>
                </c:pt>
                <c:pt idx="49">
                  <c:v>21</c:v>
                </c:pt>
                <c:pt idx="50">
                  <c:v>15</c:v>
                </c:pt>
                <c:pt idx="51">
                  <c:v>18</c:v>
                </c:pt>
                <c:pt idx="52">
                  <c:v>17</c:v>
                </c:pt>
                <c:pt idx="53">
                  <c:v>21</c:v>
                </c:pt>
                <c:pt idx="54">
                  <c:v>23</c:v>
                </c:pt>
                <c:pt idx="55">
                  <c:v>18</c:v>
                </c:pt>
                <c:pt idx="56">
                  <c:v>31</c:v>
                </c:pt>
                <c:pt idx="57">
                  <c:v>26</c:v>
                </c:pt>
                <c:pt idx="58">
                  <c:v>23</c:v>
                </c:pt>
                <c:pt idx="59">
                  <c:v>29</c:v>
                </c:pt>
                <c:pt idx="60">
                  <c:v>35</c:v>
                </c:pt>
                <c:pt idx="61">
                  <c:v>29</c:v>
                </c:pt>
                <c:pt idx="62">
                  <c:v>28</c:v>
                </c:pt>
                <c:pt idx="63">
                  <c:v>48</c:v>
                </c:pt>
                <c:pt idx="64">
                  <c:v>34</c:v>
                </c:pt>
                <c:pt idx="65">
                  <c:v>34</c:v>
                </c:pt>
                <c:pt idx="66">
                  <c:v>32</c:v>
                </c:pt>
                <c:pt idx="67">
                  <c:v>32</c:v>
                </c:pt>
                <c:pt idx="68">
                  <c:v>28</c:v>
                </c:pt>
                <c:pt idx="69">
                  <c:v>29</c:v>
                </c:pt>
                <c:pt idx="70">
                  <c:v>46</c:v>
                </c:pt>
                <c:pt idx="71">
                  <c:v>46</c:v>
                </c:pt>
                <c:pt idx="72">
                  <c:v>50</c:v>
                </c:pt>
                <c:pt idx="73">
                  <c:v>50</c:v>
                </c:pt>
                <c:pt idx="74">
                  <c:v>37</c:v>
                </c:pt>
                <c:pt idx="75">
                  <c:v>43</c:v>
                </c:pt>
                <c:pt idx="76">
                  <c:v>28</c:v>
                </c:pt>
                <c:pt idx="77">
                  <c:v>36</c:v>
                </c:pt>
                <c:pt idx="78">
                  <c:v>38</c:v>
                </c:pt>
                <c:pt idx="79">
                  <c:v>22</c:v>
                </c:pt>
                <c:pt idx="80">
                  <c:v>37</c:v>
                </c:pt>
                <c:pt idx="81">
                  <c:v>32</c:v>
                </c:pt>
                <c:pt idx="82">
                  <c:v>25</c:v>
                </c:pt>
                <c:pt idx="83">
                  <c:v>32</c:v>
                </c:pt>
                <c:pt idx="84">
                  <c:v>62</c:v>
                </c:pt>
                <c:pt idx="85">
                  <c:v>33</c:v>
                </c:pt>
                <c:pt idx="86">
                  <c:v>29</c:v>
                </c:pt>
                <c:pt idx="87">
                  <c:v>25</c:v>
                </c:pt>
                <c:pt idx="88">
                  <c:v>21</c:v>
                </c:pt>
                <c:pt idx="89">
                  <c:v>23</c:v>
                </c:pt>
                <c:pt idx="90">
                  <c:v>21</c:v>
                </c:pt>
                <c:pt idx="91">
                  <c:v>27</c:v>
                </c:pt>
                <c:pt idx="92">
                  <c:v>16</c:v>
                </c:pt>
                <c:pt idx="93">
                  <c:v>21</c:v>
                </c:pt>
                <c:pt idx="94">
                  <c:v>22</c:v>
                </c:pt>
                <c:pt idx="95">
                  <c:v>22</c:v>
                </c:pt>
                <c:pt idx="96">
                  <c:v>9</c:v>
                </c:pt>
                <c:pt idx="97">
                  <c:v>16</c:v>
                </c:pt>
                <c:pt idx="98">
                  <c:v>22</c:v>
                </c:pt>
                <c:pt idx="99">
                  <c:v>20</c:v>
                </c:pt>
                <c:pt idx="100">
                  <c:v>19</c:v>
                </c:pt>
                <c:pt idx="101">
                  <c:v>11</c:v>
                </c:pt>
                <c:pt idx="102">
                  <c:v>5</c:v>
                </c:pt>
                <c:pt idx="103">
                  <c:v>6</c:v>
                </c:pt>
                <c:pt idx="104">
                  <c:v>9</c:v>
                </c:pt>
                <c:pt idx="105">
                  <c:v>10</c:v>
                </c:pt>
                <c:pt idx="106">
                  <c:v>7</c:v>
                </c:pt>
                <c:pt idx="107">
                  <c:v>1</c:v>
                </c:pt>
                <c:pt idx="108">
                  <c:v>5</c:v>
                </c:pt>
                <c:pt idx="109">
                  <c:v>6</c:v>
                </c:pt>
                <c:pt idx="110">
                  <c:v>1</c:v>
                </c:pt>
                <c:pt idx="111">
                  <c:v>3</c:v>
                </c:pt>
                <c:pt idx="112">
                  <c:v>1</c:v>
                </c:pt>
                <c:pt idx="113">
                  <c:v>3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86-4B2D-BB03-5628FE976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180799"/>
        <c:axId val="291751087"/>
      </c:lineChart>
      <c:dateAx>
        <c:axId val="14781807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51087"/>
        <c:crosses val="autoZero"/>
        <c:auto val="1"/>
        <c:lblOffset val="100"/>
        <c:baseTimeUnit val="days"/>
      </c:dateAx>
      <c:valAx>
        <c:axId val="29175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18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590550</xdr:colOff>
      <xdr:row>21</xdr:row>
      <xdr:rowOff>61912</xdr:rowOff>
    </xdr:from>
    <xdr:to>
      <xdr:col>28</xdr:col>
      <xdr:colOff>285750</xdr:colOff>
      <xdr:row>36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8646E-40B6-CE47-6AD2-F66AC3A3E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B4CF-B6CE-4661-95B8-B93D0287CAF7}">
  <dimension ref="A1:F321"/>
  <sheetViews>
    <sheetView tabSelected="1" topLeftCell="A97" workbookViewId="0">
      <selection activeCell="K107" sqref="K107"/>
    </sheetView>
  </sheetViews>
  <sheetFormatPr defaultRowHeight="14.4" x14ac:dyDescent="0.3"/>
  <cols>
    <col min="1" max="1" width="10.33203125" bestFit="1" customWidth="1"/>
    <col min="2" max="2" width="11.77734375" bestFit="1" customWidth="1"/>
    <col min="3" max="3" width="13.33203125" bestFit="1" customWidth="1"/>
    <col min="4" max="4" width="16" bestFit="1" customWidth="1"/>
  </cols>
  <sheetData>
    <row r="1" spans="1:6" x14ac:dyDescent="0.3">
      <c r="A1" t="s">
        <v>1</v>
      </c>
      <c r="B1" t="s">
        <v>8</v>
      </c>
      <c r="C1" t="s">
        <v>6</v>
      </c>
      <c r="D1" t="s">
        <v>7</v>
      </c>
      <c r="E1" t="s">
        <v>5</v>
      </c>
      <c r="F1" t="s">
        <v>4</v>
      </c>
    </row>
    <row r="2" spans="1:6" x14ac:dyDescent="0.3">
      <c r="A2" s="1">
        <v>44667</v>
      </c>
      <c r="B2" s="2">
        <f>IFERROR(VLOOKUP(A2,Other!$C$1:$D$111,2,FALSE),0)</f>
        <v>1</v>
      </c>
      <c r="C2">
        <f>IFERROR(VLOOKUP(A2,Madrid!$C$1:$D$114,2,FALSE),B2)</f>
        <v>1</v>
      </c>
      <c r="D2">
        <f>IFERROR(VLOOKUP(A2,BCN!$C$1:$D$111,2,FALSE),C2)</f>
        <v>1</v>
      </c>
      <c r="E2" s="2">
        <f>C2-B2</f>
        <v>0</v>
      </c>
      <c r="F2" s="2">
        <f>D2-C2</f>
        <v>0</v>
      </c>
    </row>
    <row r="3" spans="1:6" x14ac:dyDescent="0.3">
      <c r="A3" s="1">
        <v>44668</v>
      </c>
      <c r="B3" s="2">
        <f>IFERROR(VLOOKUP(A3,Other!$C$1:$D$111,2,FALSE),0)</f>
        <v>0</v>
      </c>
      <c r="C3">
        <f>IFERROR(VLOOKUP(A3,Madrid!$C$1:$D$114,2,FALSE),B3)</f>
        <v>1</v>
      </c>
      <c r="D3">
        <f>IFERROR(VLOOKUP(A3,BCN!$C$1:$D$111,2,FALSE),C3)</f>
        <v>1</v>
      </c>
      <c r="E3" s="2">
        <f t="shared" ref="E3:F66" si="0">C3-B3</f>
        <v>1</v>
      </c>
      <c r="F3" s="2">
        <f t="shared" si="0"/>
        <v>0</v>
      </c>
    </row>
    <row r="4" spans="1:6" x14ac:dyDescent="0.3">
      <c r="A4" s="1">
        <v>44669</v>
      </c>
      <c r="B4" s="2">
        <f>IFERROR(VLOOKUP(A4,Other!$C$1:$D$111,2,FALSE),0)</f>
        <v>0</v>
      </c>
      <c r="C4">
        <f>IFERROR(VLOOKUP(A4,Madrid!$C$1:$D$114,2,FALSE),B4)</f>
        <v>1</v>
      </c>
      <c r="D4">
        <f>IFERROR(VLOOKUP(A4,BCN!$C$1:$D$111,2,FALSE),C4)</f>
        <v>1</v>
      </c>
      <c r="E4" s="2">
        <f t="shared" si="0"/>
        <v>1</v>
      </c>
      <c r="F4" s="2">
        <f t="shared" si="0"/>
        <v>0</v>
      </c>
    </row>
    <row r="5" spans="1:6" x14ac:dyDescent="0.3">
      <c r="A5" s="1">
        <v>44670</v>
      </c>
      <c r="B5" s="2">
        <f>IFERROR(VLOOKUP(A5,Other!$C$1:$D$111,2,FALSE),0)</f>
        <v>0</v>
      </c>
      <c r="C5">
        <f>IFERROR(VLOOKUP(A5,Madrid!$C$1:$D$114,2,FALSE),B5)</f>
        <v>0</v>
      </c>
      <c r="D5">
        <f>IFERROR(VLOOKUP(A5,BCN!$C$1:$D$111,2,FALSE),C5)</f>
        <v>0</v>
      </c>
      <c r="E5" s="2">
        <f t="shared" si="0"/>
        <v>0</v>
      </c>
      <c r="F5" s="2">
        <f t="shared" si="0"/>
        <v>0</v>
      </c>
    </row>
    <row r="6" spans="1:6" x14ac:dyDescent="0.3">
      <c r="A6" s="1">
        <v>44671</v>
      </c>
      <c r="B6" s="2">
        <f>IFERROR(VLOOKUP(A6,Other!$C$1:$D$111,2,FALSE),0)</f>
        <v>0</v>
      </c>
      <c r="C6">
        <f>IFERROR(VLOOKUP(A6,Madrid!$C$1:$D$114,2,FALSE),B6)</f>
        <v>0</v>
      </c>
      <c r="D6">
        <f>IFERROR(VLOOKUP(A6,BCN!$C$1:$D$111,2,FALSE),C6)</f>
        <v>0</v>
      </c>
      <c r="E6" s="2">
        <f t="shared" si="0"/>
        <v>0</v>
      </c>
      <c r="F6" s="2">
        <f t="shared" si="0"/>
        <v>0</v>
      </c>
    </row>
    <row r="7" spans="1:6" x14ac:dyDescent="0.3">
      <c r="A7" s="1">
        <v>44672</v>
      </c>
      <c r="B7" s="2">
        <f>IFERROR(VLOOKUP(A7,Other!$C$1:$D$111,2,FALSE),0)</f>
        <v>0</v>
      </c>
      <c r="C7">
        <f>IFERROR(VLOOKUP(A7,Madrid!$C$1:$D$114,2,FALSE),B7)</f>
        <v>0</v>
      </c>
      <c r="D7">
        <f>IFERROR(VLOOKUP(A7,BCN!$C$1:$D$111,2,FALSE),C7)</f>
        <v>0</v>
      </c>
      <c r="E7" s="2">
        <f t="shared" si="0"/>
        <v>0</v>
      </c>
      <c r="F7" s="2">
        <f t="shared" si="0"/>
        <v>0</v>
      </c>
    </row>
    <row r="8" spans="1:6" x14ac:dyDescent="0.3">
      <c r="A8" s="1">
        <v>44673</v>
      </c>
      <c r="B8" s="2">
        <f>IFERROR(VLOOKUP(A8,Other!$C$1:$D$111,2,FALSE),0)</f>
        <v>0</v>
      </c>
      <c r="C8">
        <f>IFERROR(VLOOKUP(A8,Madrid!$C$1:$D$114,2,FALSE),B8)</f>
        <v>1</v>
      </c>
      <c r="D8">
        <f>IFERROR(VLOOKUP(A8,BCN!$C$1:$D$111,2,FALSE),C8)</f>
        <v>1</v>
      </c>
      <c r="E8" s="2">
        <f t="shared" si="0"/>
        <v>1</v>
      </c>
      <c r="F8" s="2">
        <f t="shared" si="0"/>
        <v>0</v>
      </c>
    </row>
    <row r="9" spans="1:6" x14ac:dyDescent="0.3">
      <c r="A9" s="1">
        <v>44674</v>
      </c>
      <c r="B9" s="2">
        <f>IFERROR(VLOOKUP(A9,Other!$C$1:$D$111,2,FALSE),0)</f>
        <v>0</v>
      </c>
      <c r="C9">
        <f>IFERROR(VLOOKUP(A9,Madrid!$C$1:$D$114,2,FALSE),B9)</f>
        <v>4</v>
      </c>
      <c r="D9">
        <f>IFERROR(VLOOKUP(A9,BCN!$C$1:$D$111,2,FALSE),C9)</f>
        <v>4</v>
      </c>
      <c r="E9" s="2">
        <f t="shared" si="0"/>
        <v>4</v>
      </c>
      <c r="F9" s="2">
        <f t="shared" si="0"/>
        <v>0</v>
      </c>
    </row>
    <row r="10" spans="1:6" x14ac:dyDescent="0.3">
      <c r="A10" s="1">
        <v>44675</v>
      </c>
      <c r="B10" s="2">
        <f>IFERROR(VLOOKUP(A10,Other!$C$1:$D$111,2,FALSE),0)</f>
        <v>0</v>
      </c>
      <c r="C10">
        <f>IFERROR(VLOOKUP(A10,Madrid!$C$1:$D$114,2,FALSE),B10)</f>
        <v>4</v>
      </c>
      <c r="D10">
        <f>IFERROR(VLOOKUP(A10,BCN!$C$1:$D$111,2,FALSE),C10)</f>
        <v>4</v>
      </c>
      <c r="E10" s="2">
        <f t="shared" si="0"/>
        <v>4</v>
      </c>
      <c r="F10" s="2">
        <f t="shared" si="0"/>
        <v>0</v>
      </c>
    </row>
    <row r="11" spans="1:6" x14ac:dyDescent="0.3">
      <c r="A11" s="1">
        <v>44676</v>
      </c>
      <c r="B11" s="2">
        <f>IFERROR(VLOOKUP(A11,Other!$C$1:$D$111,2,FALSE),0)</f>
        <v>0</v>
      </c>
      <c r="C11">
        <f>IFERROR(VLOOKUP(A11,Madrid!$C$1:$D$114,2,FALSE),B11)</f>
        <v>2</v>
      </c>
      <c r="D11">
        <f>IFERROR(VLOOKUP(A11,BCN!$C$1:$D$111,2,FALSE),C11)</f>
        <v>2</v>
      </c>
      <c r="E11" s="2">
        <f t="shared" si="0"/>
        <v>2</v>
      </c>
      <c r="F11" s="2">
        <f t="shared" si="0"/>
        <v>0</v>
      </c>
    </row>
    <row r="12" spans="1:6" x14ac:dyDescent="0.3">
      <c r="A12" s="1">
        <v>44677</v>
      </c>
      <c r="B12" s="2">
        <f>IFERROR(VLOOKUP(A12,Other!$C$1:$D$111,2,FALSE),0)</f>
        <v>0</v>
      </c>
      <c r="C12">
        <f>IFERROR(VLOOKUP(A12,Madrid!$C$1:$D$114,2,FALSE),B12)</f>
        <v>1</v>
      </c>
      <c r="D12">
        <f>IFERROR(VLOOKUP(A12,BCN!$C$1:$D$111,2,FALSE),C12)</f>
        <v>2</v>
      </c>
      <c r="E12" s="2">
        <f t="shared" si="0"/>
        <v>1</v>
      </c>
      <c r="F12" s="2">
        <f t="shared" si="0"/>
        <v>1</v>
      </c>
    </row>
    <row r="13" spans="1:6" x14ac:dyDescent="0.3">
      <c r="A13" s="1">
        <v>44678</v>
      </c>
      <c r="B13" s="2">
        <f>IFERROR(VLOOKUP(A13,Other!$C$1:$D$111,2,FALSE),0)</f>
        <v>0</v>
      </c>
      <c r="C13">
        <f>IFERROR(VLOOKUP(A13,Madrid!$C$1:$D$114,2,FALSE),B13)</f>
        <v>5</v>
      </c>
      <c r="D13">
        <f>IFERROR(VLOOKUP(A13,BCN!$C$1:$D$111,2,FALSE),C13)</f>
        <v>5</v>
      </c>
      <c r="E13" s="2">
        <f t="shared" si="0"/>
        <v>5</v>
      </c>
      <c r="F13" s="2">
        <f t="shared" si="0"/>
        <v>0</v>
      </c>
    </row>
    <row r="14" spans="1:6" x14ac:dyDescent="0.3">
      <c r="A14" s="1">
        <v>44679</v>
      </c>
      <c r="B14" s="2">
        <f>IFERROR(VLOOKUP(A14,Other!$C$1:$D$111,2,FALSE),0)</f>
        <v>0</v>
      </c>
      <c r="C14">
        <f>IFERROR(VLOOKUP(A14,Madrid!$C$1:$D$114,2,FALSE),B14)</f>
        <v>2</v>
      </c>
      <c r="D14">
        <f>IFERROR(VLOOKUP(A14,BCN!$C$1:$D$111,2,FALSE),C14)</f>
        <v>2</v>
      </c>
      <c r="E14" s="2">
        <f t="shared" si="0"/>
        <v>2</v>
      </c>
      <c r="F14" s="2">
        <f t="shared" si="0"/>
        <v>0</v>
      </c>
    </row>
    <row r="15" spans="1:6" x14ac:dyDescent="0.3">
      <c r="A15" s="1">
        <v>44680</v>
      </c>
      <c r="B15" s="2">
        <f>IFERROR(VLOOKUP(A15,Other!$C$1:$D$111,2,FALSE),0)</f>
        <v>0</v>
      </c>
      <c r="C15">
        <f>IFERROR(VLOOKUP(A15,Madrid!$C$1:$D$114,2,FALSE),B15)</f>
        <v>2</v>
      </c>
      <c r="D15">
        <f>IFERROR(VLOOKUP(A15,BCN!$C$1:$D$111,2,FALSE),C15)</f>
        <v>2</v>
      </c>
      <c r="E15" s="2">
        <f t="shared" si="0"/>
        <v>2</v>
      </c>
      <c r="F15" s="2">
        <f t="shared" si="0"/>
        <v>0</v>
      </c>
    </row>
    <row r="16" spans="1:6" x14ac:dyDescent="0.3">
      <c r="A16" s="1">
        <v>44681</v>
      </c>
      <c r="B16" s="2">
        <f>IFERROR(VLOOKUP(A16,Other!$C$1:$D$111,2,FALSE),0)</f>
        <v>1</v>
      </c>
      <c r="C16">
        <f>IFERROR(VLOOKUP(A16,Madrid!$C$1:$D$114,2,FALSE),B16)</f>
        <v>5</v>
      </c>
      <c r="D16">
        <f>IFERROR(VLOOKUP(A16,BCN!$C$1:$D$111,2,FALSE),C16)</f>
        <v>6</v>
      </c>
      <c r="E16" s="2">
        <f t="shared" si="0"/>
        <v>4</v>
      </c>
      <c r="F16" s="2">
        <f t="shared" si="0"/>
        <v>1</v>
      </c>
    </row>
    <row r="17" spans="1:6" x14ac:dyDescent="0.3">
      <c r="A17" s="1">
        <v>44682</v>
      </c>
      <c r="B17" s="2">
        <f>IFERROR(VLOOKUP(A17,Other!$C$1:$D$111,2,FALSE),0)</f>
        <v>0</v>
      </c>
      <c r="C17">
        <f>IFERROR(VLOOKUP(A17,Madrid!$C$1:$D$114,2,FALSE),B17)</f>
        <v>7</v>
      </c>
      <c r="D17">
        <f>IFERROR(VLOOKUP(A17,BCN!$C$1:$D$111,2,FALSE),C17)</f>
        <v>7</v>
      </c>
      <c r="E17" s="2">
        <f t="shared" si="0"/>
        <v>7</v>
      </c>
      <c r="F17" s="2">
        <f t="shared" si="0"/>
        <v>0</v>
      </c>
    </row>
    <row r="18" spans="1:6" x14ac:dyDescent="0.3">
      <c r="A18" s="1">
        <v>44683</v>
      </c>
      <c r="B18" s="2">
        <f>IFERROR(VLOOKUP(A18,Other!$C$1:$D$111,2,FALSE),0)</f>
        <v>1</v>
      </c>
      <c r="C18">
        <f>IFERROR(VLOOKUP(A18,Madrid!$C$1:$D$114,2,FALSE),B18)</f>
        <v>7</v>
      </c>
      <c r="D18">
        <f>IFERROR(VLOOKUP(A18,BCN!$C$1:$D$111,2,FALSE),C18)</f>
        <v>7</v>
      </c>
      <c r="E18" s="2">
        <f t="shared" si="0"/>
        <v>6</v>
      </c>
      <c r="F18" s="2">
        <f t="shared" si="0"/>
        <v>0</v>
      </c>
    </row>
    <row r="19" spans="1:6" x14ac:dyDescent="0.3">
      <c r="A19" s="1">
        <v>44684</v>
      </c>
      <c r="B19" s="2">
        <f>IFERROR(VLOOKUP(A19,Other!$C$1:$D$111,2,FALSE),0)</f>
        <v>0</v>
      </c>
      <c r="C19">
        <f>IFERROR(VLOOKUP(A19,Madrid!$C$1:$D$114,2,FALSE),B19)</f>
        <v>10</v>
      </c>
      <c r="D19">
        <f>IFERROR(VLOOKUP(A19,BCN!$C$1:$D$111,2,FALSE),C19)</f>
        <v>10</v>
      </c>
      <c r="E19" s="2">
        <f t="shared" si="0"/>
        <v>10</v>
      </c>
      <c r="F19" s="2">
        <f t="shared" si="0"/>
        <v>0</v>
      </c>
    </row>
    <row r="20" spans="1:6" x14ac:dyDescent="0.3">
      <c r="A20" s="1">
        <v>44685</v>
      </c>
      <c r="B20" s="2">
        <f>IFERROR(VLOOKUP(A20,Other!$C$1:$D$111,2,FALSE),0)</f>
        <v>1</v>
      </c>
      <c r="C20">
        <f>IFERROR(VLOOKUP(A20,Madrid!$C$1:$D$114,2,FALSE),B20)</f>
        <v>7</v>
      </c>
      <c r="D20">
        <f>IFERROR(VLOOKUP(A20,BCN!$C$1:$D$111,2,FALSE),C20)</f>
        <v>7</v>
      </c>
      <c r="E20" s="2">
        <f t="shared" si="0"/>
        <v>6</v>
      </c>
      <c r="F20" s="2">
        <f t="shared" si="0"/>
        <v>0</v>
      </c>
    </row>
    <row r="21" spans="1:6" x14ac:dyDescent="0.3">
      <c r="A21" s="1">
        <v>44686</v>
      </c>
      <c r="B21" s="2">
        <f>IFERROR(VLOOKUP(A21,Other!$C$1:$D$111,2,FALSE),0)</f>
        <v>2</v>
      </c>
      <c r="C21">
        <f>IFERROR(VLOOKUP(A21,Madrid!$C$1:$D$114,2,FALSE),B21)</f>
        <v>4</v>
      </c>
      <c r="D21">
        <f>IFERROR(VLOOKUP(A21,BCN!$C$1:$D$111,2,FALSE),C21)</f>
        <v>4</v>
      </c>
      <c r="E21" s="2">
        <f t="shared" si="0"/>
        <v>2</v>
      </c>
      <c r="F21" s="2">
        <f t="shared" si="0"/>
        <v>0</v>
      </c>
    </row>
    <row r="22" spans="1:6" x14ac:dyDescent="0.3">
      <c r="A22" s="1">
        <v>44687</v>
      </c>
      <c r="B22" s="2">
        <f>IFERROR(VLOOKUP(A22,Other!$C$1:$D$111,2,FALSE),0)</f>
        <v>3</v>
      </c>
      <c r="C22">
        <f>IFERROR(VLOOKUP(A22,Madrid!$C$1:$D$114,2,FALSE),B22)</f>
        <v>10</v>
      </c>
      <c r="D22">
        <f>IFERROR(VLOOKUP(A22,BCN!$C$1:$D$111,2,FALSE),C22)</f>
        <v>10</v>
      </c>
      <c r="E22" s="2">
        <f t="shared" si="0"/>
        <v>7</v>
      </c>
      <c r="F22" s="2">
        <f t="shared" si="0"/>
        <v>0</v>
      </c>
    </row>
    <row r="23" spans="1:6" x14ac:dyDescent="0.3">
      <c r="A23" s="1">
        <v>44688</v>
      </c>
      <c r="B23" s="2">
        <f>IFERROR(VLOOKUP(A23,Other!$C$1:$D$111,2,FALSE),0)</f>
        <v>5</v>
      </c>
      <c r="C23">
        <f>IFERROR(VLOOKUP(A23,Madrid!$C$1:$D$114,2,FALSE),B23)</f>
        <v>10</v>
      </c>
      <c r="D23">
        <f>IFERROR(VLOOKUP(A23,BCN!$C$1:$D$111,2,FALSE),C23)</f>
        <v>13</v>
      </c>
      <c r="E23" s="2">
        <f t="shared" si="0"/>
        <v>5</v>
      </c>
      <c r="F23" s="2">
        <f t="shared" si="0"/>
        <v>3</v>
      </c>
    </row>
    <row r="24" spans="1:6" x14ac:dyDescent="0.3">
      <c r="A24" s="1">
        <v>44689</v>
      </c>
      <c r="B24" s="2">
        <f>IFERROR(VLOOKUP(A24,Other!$C$1:$D$111,2,FALSE),0)</f>
        <v>1</v>
      </c>
      <c r="C24">
        <f>IFERROR(VLOOKUP(A24,Madrid!$C$1:$D$114,2,FALSE),B24)</f>
        <v>8</v>
      </c>
      <c r="D24">
        <f>IFERROR(VLOOKUP(A24,BCN!$C$1:$D$111,2,FALSE),C24)</f>
        <v>9</v>
      </c>
      <c r="E24" s="2">
        <f t="shared" si="0"/>
        <v>7</v>
      </c>
      <c r="F24" s="2">
        <f t="shared" si="0"/>
        <v>1</v>
      </c>
    </row>
    <row r="25" spans="1:6" x14ac:dyDescent="0.3">
      <c r="A25" s="1">
        <v>44690</v>
      </c>
      <c r="B25" s="2">
        <f>IFERROR(VLOOKUP(A25,Other!$C$1:$D$111,2,FALSE),0)</f>
        <v>1</v>
      </c>
      <c r="C25">
        <f>IFERROR(VLOOKUP(A25,Madrid!$C$1:$D$114,2,FALSE),B25)</f>
        <v>9</v>
      </c>
      <c r="D25">
        <f>IFERROR(VLOOKUP(A25,BCN!$C$1:$D$111,2,FALSE),C25)</f>
        <v>9</v>
      </c>
      <c r="E25" s="2">
        <f t="shared" si="0"/>
        <v>8</v>
      </c>
      <c r="F25" s="2">
        <f t="shared" si="0"/>
        <v>0</v>
      </c>
    </row>
    <row r="26" spans="1:6" x14ac:dyDescent="0.3">
      <c r="A26" s="1">
        <v>44691</v>
      </c>
      <c r="B26" s="2">
        <f>IFERROR(VLOOKUP(A26,Other!$C$1:$D$111,2,FALSE),0)</f>
        <v>7</v>
      </c>
      <c r="C26">
        <f>IFERROR(VLOOKUP(A26,Madrid!$C$1:$D$114,2,FALSE),B26)</f>
        <v>17</v>
      </c>
      <c r="D26">
        <f>IFERROR(VLOOKUP(A26,BCN!$C$1:$D$111,2,FALSE),C26)</f>
        <v>20</v>
      </c>
      <c r="E26" s="2">
        <f t="shared" si="0"/>
        <v>10</v>
      </c>
      <c r="F26" s="2">
        <f t="shared" si="0"/>
        <v>3</v>
      </c>
    </row>
    <row r="27" spans="1:6" x14ac:dyDescent="0.3">
      <c r="A27" s="1">
        <v>44692</v>
      </c>
      <c r="B27" s="2">
        <f>IFERROR(VLOOKUP(A27,Other!$C$1:$D$111,2,FALSE),0)</f>
        <v>3</v>
      </c>
      <c r="C27">
        <f>IFERROR(VLOOKUP(A27,Madrid!$C$1:$D$114,2,FALSE),B27)</f>
        <v>12</v>
      </c>
      <c r="D27">
        <f>IFERROR(VLOOKUP(A27,BCN!$C$1:$D$111,2,FALSE),C27)</f>
        <v>12</v>
      </c>
      <c r="E27" s="2">
        <f t="shared" si="0"/>
        <v>9</v>
      </c>
      <c r="F27" s="2">
        <f t="shared" si="0"/>
        <v>0</v>
      </c>
    </row>
    <row r="28" spans="1:6" x14ac:dyDescent="0.3">
      <c r="A28" s="1">
        <v>44693</v>
      </c>
      <c r="B28" s="2">
        <f>IFERROR(VLOOKUP(A28,Other!$C$1:$D$111,2,FALSE),0)</f>
        <v>3</v>
      </c>
      <c r="C28">
        <f>IFERROR(VLOOKUP(A28,Madrid!$C$1:$D$114,2,FALSE),B28)</f>
        <v>16</v>
      </c>
      <c r="D28">
        <f>IFERROR(VLOOKUP(A28,BCN!$C$1:$D$111,2,FALSE),C28)</f>
        <v>17</v>
      </c>
      <c r="E28" s="2">
        <f t="shared" si="0"/>
        <v>13</v>
      </c>
      <c r="F28" s="2">
        <f t="shared" si="0"/>
        <v>1</v>
      </c>
    </row>
    <row r="29" spans="1:6" x14ac:dyDescent="0.3">
      <c r="A29" s="1">
        <v>44694</v>
      </c>
      <c r="B29" s="2">
        <f>IFERROR(VLOOKUP(A29,Other!$C$1:$D$111,2,FALSE),0)</f>
        <v>4</v>
      </c>
      <c r="C29">
        <f>IFERROR(VLOOKUP(A29,Madrid!$C$1:$D$114,2,FALSE),B29)</f>
        <v>16</v>
      </c>
      <c r="D29">
        <f>IFERROR(VLOOKUP(A29,BCN!$C$1:$D$111,2,FALSE),C29)</f>
        <v>20</v>
      </c>
      <c r="E29" s="2">
        <f t="shared" si="0"/>
        <v>12</v>
      </c>
      <c r="F29" s="2">
        <f t="shared" si="0"/>
        <v>4</v>
      </c>
    </row>
    <row r="30" spans="1:6" x14ac:dyDescent="0.3">
      <c r="A30" s="1">
        <v>44695</v>
      </c>
      <c r="B30" s="2">
        <f>IFERROR(VLOOKUP(A30,Other!$C$1:$D$111,2,FALSE),0)</f>
        <v>4</v>
      </c>
      <c r="C30">
        <f>IFERROR(VLOOKUP(A30,Madrid!$C$1:$D$114,2,FALSE),B30)</f>
        <v>16</v>
      </c>
      <c r="D30">
        <f>IFERROR(VLOOKUP(A30,BCN!$C$1:$D$111,2,FALSE),C30)</f>
        <v>17</v>
      </c>
      <c r="E30" s="2">
        <f t="shared" si="0"/>
        <v>12</v>
      </c>
      <c r="F30" s="2">
        <f t="shared" si="0"/>
        <v>1</v>
      </c>
    </row>
    <row r="31" spans="1:6" x14ac:dyDescent="0.3">
      <c r="A31" s="1">
        <v>44696</v>
      </c>
      <c r="B31" s="2">
        <f>IFERROR(VLOOKUP(A31,Other!$C$1:$D$111,2,FALSE),0)</f>
        <v>3</v>
      </c>
      <c r="C31">
        <f>IFERROR(VLOOKUP(A31,Madrid!$C$1:$D$114,2,FALSE),B31)</f>
        <v>8</v>
      </c>
      <c r="D31">
        <f>IFERROR(VLOOKUP(A31,BCN!$C$1:$D$111,2,FALSE),C31)</f>
        <v>11</v>
      </c>
      <c r="E31" s="2">
        <f t="shared" si="0"/>
        <v>5</v>
      </c>
      <c r="F31" s="2">
        <f t="shared" si="0"/>
        <v>3</v>
      </c>
    </row>
    <row r="32" spans="1:6" x14ac:dyDescent="0.3">
      <c r="A32" s="1">
        <v>44697</v>
      </c>
      <c r="B32" s="2">
        <f>IFERROR(VLOOKUP(A32,Other!$C$1:$D$111,2,FALSE),0)</f>
        <v>4</v>
      </c>
      <c r="C32">
        <f>IFERROR(VLOOKUP(A32,Madrid!$C$1:$D$114,2,FALSE),B32)</f>
        <v>23</v>
      </c>
      <c r="D32">
        <f>IFERROR(VLOOKUP(A32,BCN!$C$1:$D$111,2,FALSE),C32)</f>
        <v>25</v>
      </c>
      <c r="E32" s="2">
        <f t="shared" si="0"/>
        <v>19</v>
      </c>
      <c r="F32" s="2">
        <f t="shared" si="0"/>
        <v>2</v>
      </c>
    </row>
    <row r="33" spans="1:6" x14ac:dyDescent="0.3">
      <c r="A33" s="1">
        <v>44698</v>
      </c>
      <c r="B33" s="2">
        <f>IFERROR(VLOOKUP(A33,Other!$C$1:$D$111,2,FALSE),0)</f>
        <v>1</v>
      </c>
      <c r="C33">
        <f>IFERROR(VLOOKUP(A33,Madrid!$C$1:$D$114,2,FALSE),B33)</f>
        <v>9</v>
      </c>
      <c r="D33">
        <f>IFERROR(VLOOKUP(A33,BCN!$C$1:$D$111,2,FALSE),C33)</f>
        <v>10</v>
      </c>
      <c r="E33" s="2">
        <f t="shared" si="0"/>
        <v>8</v>
      </c>
      <c r="F33" s="2">
        <f t="shared" si="0"/>
        <v>1</v>
      </c>
    </row>
    <row r="34" spans="1:6" x14ac:dyDescent="0.3">
      <c r="A34" s="1">
        <v>44699</v>
      </c>
      <c r="B34" s="2">
        <f>IFERROR(VLOOKUP(A34,Other!$C$1:$D$111,2,FALSE),0)</f>
        <v>2</v>
      </c>
      <c r="C34">
        <f>IFERROR(VLOOKUP(A34,Madrid!$C$1:$D$114,2,FALSE),B34)</f>
        <v>15</v>
      </c>
      <c r="D34">
        <f>IFERROR(VLOOKUP(A34,BCN!$C$1:$D$111,2,FALSE),C34)</f>
        <v>15</v>
      </c>
      <c r="E34" s="2">
        <f t="shared" si="0"/>
        <v>13</v>
      </c>
      <c r="F34" s="2">
        <f t="shared" si="0"/>
        <v>0</v>
      </c>
    </row>
    <row r="35" spans="1:6" x14ac:dyDescent="0.3">
      <c r="A35" s="1">
        <v>44700</v>
      </c>
      <c r="B35" s="2">
        <f>IFERROR(VLOOKUP(A35,Other!$C$1:$D$111,2,FALSE),0)</f>
        <v>3</v>
      </c>
      <c r="C35">
        <f>IFERROR(VLOOKUP(A35,Madrid!$C$1:$D$114,2,FALSE),B35)</f>
        <v>14</v>
      </c>
      <c r="D35">
        <f>IFERROR(VLOOKUP(A35,BCN!$C$1:$D$111,2,FALSE),C35)</f>
        <v>17</v>
      </c>
      <c r="E35" s="2">
        <f t="shared" si="0"/>
        <v>11</v>
      </c>
      <c r="F35" s="2">
        <f t="shared" si="0"/>
        <v>3</v>
      </c>
    </row>
    <row r="36" spans="1:6" x14ac:dyDescent="0.3">
      <c r="A36" s="1">
        <v>44701</v>
      </c>
      <c r="B36" s="2">
        <f>IFERROR(VLOOKUP(A36,Other!$C$1:$D$111,2,FALSE),0)</f>
        <v>0</v>
      </c>
      <c r="C36">
        <f>IFERROR(VLOOKUP(A36,Madrid!$C$1:$D$114,2,FALSE),B36)</f>
        <v>12</v>
      </c>
      <c r="D36">
        <f>IFERROR(VLOOKUP(A36,BCN!$C$1:$D$111,2,FALSE),C36)</f>
        <v>13</v>
      </c>
      <c r="E36" s="2">
        <f t="shared" si="0"/>
        <v>12</v>
      </c>
      <c r="F36" s="2">
        <f t="shared" si="0"/>
        <v>1</v>
      </c>
    </row>
    <row r="37" spans="1:6" x14ac:dyDescent="0.3">
      <c r="A37" s="1">
        <v>44702</v>
      </c>
      <c r="B37" s="2">
        <f>IFERROR(VLOOKUP(A37,Other!$C$1:$D$111,2,FALSE),0)</f>
        <v>3</v>
      </c>
      <c r="C37">
        <f>IFERROR(VLOOKUP(A37,Madrid!$C$1:$D$114,2,FALSE),B37)</f>
        <v>17</v>
      </c>
      <c r="D37">
        <f>IFERROR(VLOOKUP(A37,BCN!$C$1:$D$111,2,FALSE),C37)</f>
        <v>24</v>
      </c>
      <c r="E37" s="2">
        <f t="shared" si="0"/>
        <v>14</v>
      </c>
      <c r="F37" s="2">
        <f t="shared" si="0"/>
        <v>7</v>
      </c>
    </row>
    <row r="38" spans="1:6" x14ac:dyDescent="0.3">
      <c r="A38" s="1">
        <v>44703</v>
      </c>
      <c r="B38" s="2">
        <f>IFERROR(VLOOKUP(A38,Other!$C$1:$D$111,2,FALSE),0)</f>
        <v>5</v>
      </c>
      <c r="C38">
        <f>IFERROR(VLOOKUP(A38,Madrid!$C$1:$D$114,2,FALSE),B38)</f>
        <v>29</v>
      </c>
      <c r="D38">
        <f>IFERROR(VLOOKUP(A38,BCN!$C$1:$D$111,2,FALSE),C38)</f>
        <v>31</v>
      </c>
      <c r="E38" s="2">
        <f t="shared" si="0"/>
        <v>24</v>
      </c>
      <c r="F38" s="2">
        <f t="shared" si="0"/>
        <v>2</v>
      </c>
    </row>
    <row r="39" spans="1:6" x14ac:dyDescent="0.3">
      <c r="A39" s="1">
        <v>44704</v>
      </c>
      <c r="B39" s="2">
        <f>IFERROR(VLOOKUP(A39,Other!$C$1:$D$111,2,FALSE),0)</f>
        <v>9</v>
      </c>
      <c r="C39">
        <f>IFERROR(VLOOKUP(A39,Madrid!$C$1:$D$114,2,FALSE),B39)</f>
        <v>44</v>
      </c>
      <c r="D39">
        <f>IFERROR(VLOOKUP(A39,BCN!$C$1:$D$111,2,FALSE),C39)</f>
        <v>52</v>
      </c>
      <c r="E39" s="2">
        <f t="shared" si="0"/>
        <v>35</v>
      </c>
      <c r="F39" s="2">
        <f t="shared" si="0"/>
        <v>8</v>
      </c>
    </row>
    <row r="40" spans="1:6" x14ac:dyDescent="0.3">
      <c r="A40" s="1">
        <v>44705</v>
      </c>
      <c r="B40" s="2">
        <f>IFERROR(VLOOKUP(A40,Other!$C$1:$D$111,2,FALSE),0)</f>
        <v>3</v>
      </c>
      <c r="C40">
        <f>IFERROR(VLOOKUP(A40,Madrid!$C$1:$D$114,2,FALSE),B40)</f>
        <v>27</v>
      </c>
      <c r="D40">
        <f>IFERROR(VLOOKUP(A40,BCN!$C$1:$D$111,2,FALSE),C40)</f>
        <v>31</v>
      </c>
      <c r="E40" s="2">
        <f t="shared" si="0"/>
        <v>24</v>
      </c>
      <c r="F40" s="2">
        <f t="shared" si="0"/>
        <v>4</v>
      </c>
    </row>
    <row r="41" spans="1:6" x14ac:dyDescent="0.3">
      <c r="A41" s="1">
        <v>44706</v>
      </c>
      <c r="B41" s="2">
        <f>IFERROR(VLOOKUP(A41,Other!$C$1:$D$111,2,FALSE),0)</f>
        <v>10</v>
      </c>
      <c r="C41">
        <f>IFERROR(VLOOKUP(A41,Madrid!$C$1:$D$114,2,FALSE),B41)</f>
        <v>35</v>
      </c>
      <c r="D41">
        <f>IFERROR(VLOOKUP(A41,BCN!$C$1:$D$111,2,FALSE),C41)</f>
        <v>41</v>
      </c>
      <c r="E41" s="2">
        <f t="shared" si="0"/>
        <v>25</v>
      </c>
      <c r="F41" s="2">
        <f t="shared" si="0"/>
        <v>6</v>
      </c>
    </row>
    <row r="42" spans="1:6" x14ac:dyDescent="0.3">
      <c r="A42" s="1">
        <v>44707</v>
      </c>
      <c r="B42" s="2">
        <f>IFERROR(VLOOKUP(A42,Other!$C$1:$D$111,2,FALSE),0)</f>
        <v>4</v>
      </c>
      <c r="C42">
        <f>IFERROR(VLOOKUP(A42,Madrid!$C$1:$D$114,2,FALSE),B42)</f>
        <v>20</v>
      </c>
      <c r="D42">
        <f>IFERROR(VLOOKUP(A42,BCN!$C$1:$D$111,2,FALSE),C42)</f>
        <v>24</v>
      </c>
      <c r="E42" s="2">
        <f t="shared" si="0"/>
        <v>16</v>
      </c>
      <c r="F42" s="2">
        <f t="shared" si="0"/>
        <v>4</v>
      </c>
    </row>
    <row r="43" spans="1:6" x14ac:dyDescent="0.3">
      <c r="A43" s="1">
        <v>44708</v>
      </c>
      <c r="B43" s="2">
        <f>IFERROR(VLOOKUP(A43,Other!$C$1:$D$111,2,FALSE),0)</f>
        <v>9</v>
      </c>
      <c r="C43">
        <f>IFERROR(VLOOKUP(A43,Madrid!$C$1:$D$114,2,FALSE),B43)</f>
        <v>28</v>
      </c>
      <c r="D43">
        <f>IFERROR(VLOOKUP(A43,BCN!$C$1:$D$111,2,FALSE),C43)</f>
        <v>35</v>
      </c>
      <c r="E43" s="2">
        <f t="shared" si="0"/>
        <v>19</v>
      </c>
      <c r="F43" s="2">
        <f t="shared" si="0"/>
        <v>7</v>
      </c>
    </row>
    <row r="44" spans="1:6" x14ac:dyDescent="0.3">
      <c r="A44" s="1">
        <v>44709</v>
      </c>
      <c r="B44" s="2">
        <f>IFERROR(VLOOKUP(A44,Other!$C$1:$D$111,2,FALSE),0)</f>
        <v>7</v>
      </c>
      <c r="C44">
        <f>IFERROR(VLOOKUP(A44,Madrid!$C$1:$D$114,2,FALSE),B44)</f>
        <v>32</v>
      </c>
      <c r="D44">
        <f>IFERROR(VLOOKUP(A44,BCN!$C$1:$D$111,2,FALSE),C44)</f>
        <v>39</v>
      </c>
      <c r="E44" s="2">
        <f t="shared" si="0"/>
        <v>25</v>
      </c>
      <c r="F44" s="2">
        <f t="shared" si="0"/>
        <v>7</v>
      </c>
    </row>
    <row r="45" spans="1:6" x14ac:dyDescent="0.3">
      <c r="A45" s="1">
        <v>44710</v>
      </c>
      <c r="B45" s="2">
        <f>IFERROR(VLOOKUP(A45,Other!$C$1:$D$111,2,FALSE),0)</f>
        <v>6</v>
      </c>
      <c r="C45">
        <f>IFERROR(VLOOKUP(A45,Madrid!$C$1:$D$114,2,FALSE),B45)</f>
        <v>36</v>
      </c>
      <c r="D45">
        <f>IFERROR(VLOOKUP(A45,BCN!$C$1:$D$111,2,FALSE),C45)</f>
        <v>45</v>
      </c>
      <c r="E45" s="2">
        <f t="shared" si="0"/>
        <v>30</v>
      </c>
      <c r="F45" s="2">
        <f t="shared" si="0"/>
        <v>9</v>
      </c>
    </row>
    <row r="46" spans="1:6" x14ac:dyDescent="0.3">
      <c r="A46" s="1">
        <v>44711</v>
      </c>
      <c r="B46" s="2">
        <f>IFERROR(VLOOKUP(A46,Other!$C$1:$D$111,2,FALSE),0)</f>
        <v>14</v>
      </c>
      <c r="C46">
        <f>IFERROR(VLOOKUP(A46,Madrid!$C$1:$D$114,2,FALSE),B46)</f>
        <v>31</v>
      </c>
      <c r="D46">
        <f>IFERROR(VLOOKUP(A46,BCN!$C$1:$D$111,2,FALSE),C46)</f>
        <v>44</v>
      </c>
      <c r="E46" s="2">
        <f t="shared" si="0"/>
        <v>17</v>
      </c>
      <c r="F46" s="2">
        <f t="shared" si="0"/>
        <v>13</v>
      </c>
    </row>
    <row r="47" spans="1:6" x14ac:dyDescent="0.3">
      <c r="A47" s="1">
        <v>44712</v>
      </c>
      <c r="B47" s="2">
        <f>IFERROR(VLOOKUP(A47,Other!$C$1:$D$111,2,FALSE),0)</f>
        <v>12</v>
      </c>
      <c r="C47">
        <f>IFERROR(VLOOKUP(A47,Madrid!$C$1:$D$114,2,FALSE),B47)</f>
        <v>36</v>
      </c>
      <c r="D47">
        <f>IFERROR(VLOOKUP(A47,BCN!$C$1:$D$111,2,FALSE),C47)</f>
        <v>44</v>
      </c>
      <c r="E47" s="2">
        <f t="shared" si="0"/>
        <v>24</v>
      </c>
      <c r="F47" s="2">
        <f t="shared" si="0"/>
        <v>8</v>
      </c>
    </row>
    <row r="48" spans="1:6" x14ac:dyDescent="0.3">
      <c r="A48" s="1">
        <v>44713</v>
      </c>
      <c r="B48" s="2">
        <f>IFERROR(VLOOKUP(A48,Other!$C$1:$D$111,2,FALSE),0)</f>
        <v>9</v>
      </c>
      <c r="C48">
        <f>IFERROR(VLOOKUP(A48,Madrid!$C$1:$D$114,2,FALSE),B48)</f>
        <v>36</v>
      </c>
      <c r="D48">
        <f>IFERROR(VLOOKUP(A48,BCN!$C$1:$D$111,2,FALSE),C48)</f>
        <v>48</v>
      </c>
      <c r="E48" s="2">
        <f t="shared" si="0"/>
        <v>27</v>
      </c>
      <c r="F48" s="2">
        <f t="shared" si="0"/>
        <v>12</v>
      </c>
    </row>
    <row r="49" spans="1:6" x14ac:dyDescent="0.3">
      <c r="A49" s="1">
        <v>44714</v>
      </c>
      <c r="B49" s="2">
        <f>IFERROR(VLOOKUP(A49,Other!$C$1:$D$111,2,FALSE),0)</f>
        <v>10</v>
      </c>
      <c r="C49">
        <f>IFERROR(VLOOKUP(A49,Madrid!$C$1:$D$114,2,FALSE),B49)</f>
        <v>36</v>
      </c>
      <c r="D49">
        <f>IFERROR(VLOOKUP(A49,BCN!$C$1:$D$111,2,FALSE),C49)</f>
        <v>49</v>
      </c>
      <c r="E49" s="2">
        <f t="shared" si="0"/>
        <v>26</v>
      </c>
      <c r="F49" s="2">
        <f t="shared" si="0"/>
        <v>13</v>
      </c>
    </row>
    <row r="50" spans="1:6" x14ac:dyDescent="0.3">
      <c r="A50" s="1">
        <v>44715</v>
      </c>
      <c r="B50" s="2">
        <f>IFERROR(VLOOKUP(A50,Other!$C$1:$D$111,2,FALSE),0)</f>
        <v>12</v>
      </c>
      <c r="C50">
        <f>IFERROR(VLOOKUP(A50,Madrid!$C$1:$D$114,2,FALSE),B50)</f>
        <v>42</v>
      </c>
      <c r="D50">
        <f>IFERROR(VLOOKUP(A50,BCN!$C$1:$D$111,2,FALSE),C50)</f>
        <v>59</v>
      </c>
      <c r="E50" s="2">
        <f t="shared" si="0"/>
        <v>30</v>
      </c>
      <c r="F50" s="2">
        <f t="shared" si="0"/>
        <v>17</v>
      </c>
    </row>
    <row r="51" spans="1:6" x14ac:dyDescent="0.3">
      <c r="A51" s="1">
        <v>44716</v>
      </c>
      <c r="B51" s="2">
        <f>IFERROR(VLOOKUP(A51,Other!$C$1:$D$111,2,FALSE),0)</f>
        <v>18</v>
      </c>
      <c r="C51">
        <f>IFERROR(VLOOKUP(A51,Madrid!$C$1:$D$114,2,FALSE),B51)</f>
        <v>56</v>
      </c>
      <c r="D51">
        <f>IFERROR(VLOOKUP(A51,BCN!$C$1:$D$111,2,FALSE),C51)</f>
        <v>77</v>
      </c>
      <c r="E51" s="2">
        <f t="shared" si="0"/>
        <v>38</v>
      </c>
      <c r="F51" s="2">
        <f t="shared" si="0"/>
        <v>21</v>
      </c>
    </row>
    <row r="52" spans="1:6" x14ac:dyDescent="0.3">
      <c r="A52" s="1">
        <v>44717</v>
      </c>
      <c r="B52" s="2">
        <f>IFERROR(VLOOKUP(A52,Other!$C$1:$D$111,2,FALSE),0)</f>
        <v>12</v>
      </c>
      <c r="C52">
        <f>IFERROR(VLOOKUP(A52,Madrid!$C$1:$D$114,2,FALSE),B52)</f>
        <v>30</v>
      </c>
      <c r="D52">
        <f>IFERROR(VLOOKUP(A52,BCN!$C$1:$D$111,2,FALSE),C52)</f>
        <v>45</v>
      </c>
      <c r="E52" s="2">
        <f t="shared" si="0"/>
        <v>18</v>
      </c>
      <c r="F52" s="2">
        <f t="shared" si="0"/>
        <v>15</v>
      </c>
    </row>
    <row r="53" spans="1:6" x14ac:dyDescent="0.3">
      <c r="A53" s="1">
        <v>44718</v>
      </c>
      <c r="B53" s="2">
        <f>IFERROR(VLOOKUP(A53,Other!$C$1:$D$111,2,FALSE),0)</f>
        <v>15</v>
      </c>
      <c r="C53">
        <f>IFERROR(VLOOKUP(A53,Madrid!$C$1:$D$114,2,FALSE),B53)</f>
        <v>41</v>
      </c>
      <c r="D53">
        <f>IFERROR(VLOOKUP(A53,BCN!$C$1:$D$111,2,FALSE),C53)</f>
        <v>59</v>
      </c>
      <c r="E53" s="2">
        <f t="shared" si="0"/>
        <v>26</v>
      </c>
      <c r="F53" s="2">
        <f t="shared" si="0"/>
        <v>18</v>
      </c>
    </row>
    <row r="54" spans="1:6" x14ac:dyDescent="0.3">
      <c r="A54" s="1">
        <v>44719</v>
      </c>
      <c r="B54" s="2">
        <f>IFERROR(VLOOKUP(A54,Other!$C$1:$D$111,2,FALSE),0)</f>
        <v>14</v>
      </c>
      <c r="C54">
        <f>IFERROR(VLOOKUP(A54,Madrid!$C$1:$D$114,2,FALSE),B54)</f>
        <v>52</v>
      </c>
      <c r="D54">
        <f>IFERROR(VLOOKUP(A54,BCN!$C$1:$D$111,2,FALSE),C54)</f>
        <v>69</v>
      </c>
      <c r="E54" s="2">
        <f t="shared" si="0"/>
        <v>38</v>
      </c>
      <c r="F54" s="2">
        <f t="shared" si="0"/>
        <v>17</v>
      </c>
    </row>
    <row r="55" spans="1:6" x14ac:dyDescent="0.3">
      <c r="A55" s="1">
        <v>44720</v>
      </c>
      <c r="B55" s="2">
        <f>IFERROR(VLOOKUP(A55,Other!$C$1:$D$111,2,FALSE),0)</f>
        <v>18</v>
      </c>
      <c r="C55">
        <f>IFERROR(VLOOKUP(A55,Madrid!$C$1:$D$114,2,FALSE),B55)</f>
        <v>55</v>
      </c>
      <c r="D55">
        <f>IFERROR(VLOOKUP(A55,BCN!$C$1:$D$111,2,FALSE),C55)</f>
        <v>76</v>
      </c>
      <c r="E55" s="2">
        <f t="shared" si="0"/>
        <v>37</v>
      </c>
      <c r="F55" s="2">
        <f t="shared" si="0"/>
        <v>21</v>
      </c>
    </row>
    <row r="56" spans="1:6" x14ac:dyDescent="0.3">
      <c r="A56" s="1">
        <v>44721</v>
      </c>
      <c r="B56" s="2">
        <f>IFERROR(VLOOKUP(A56,Other!$C$1:$D$111,2,FALSE),0)</f>
        <v>19</v>
      </c>
      <c r="C56">
        <f>IFERROR(VLOOKUP(A56,Madrid!$C$1:$D$114,2,FALSE),B56)</f>
        <v>47</v>
      </c>
      <c r="D56">
        <f>IFERROR(VLOOKUP(A56,BCN!$C$1:$D$111,2,FALSE),C56)</f>
        <v>70</v>
      </c>
      <c r="E56" s="2">
        <f t="shared" si="0"/>
        <v>28</v>
      </c>
      <c r="F56" s="2">
        <f t="shared" si="0"/>
        <v>23</v>
      </c>
    </row>
    <row r="57" spans="1:6" x14ac:dyDescent="0.3">
      <c r="A57" s="1">
        <v>44722</v>
      </c>
      <c r="B57" s="2">
        <f>IFERROR(VLOOKUP(A57,Other!$C$1:$D$111,2,FALSE),0)</f>
        <v>19</v>
      </c>
      <c r="C57">
        <f>IFERROR(VLOOKUP(A57,Madrid!$C$1:$D$114,2,FALSE),B57)</f>
        <v>55</v>
      </c>
      <c r="D57">
        <f>IFERROR(VLOOKUP(A57,BCN!$C$1:$D$111,2,FALSE),C57)</f>
        <v>73</v>
      </c>
      <c r="E57" s="2">
        <f t="shared" si="0"/>
        <v>36</v>
      </c>
      <c r="F57" s="2">
        <f t="shared" si="0"/>
        <v>18</v>
      </c>
    </row>
    <row r="58" spans="1:6" x14ac:dyDescent="0.3">
      <c r="A58" s="1">
        <v>44723</v>
      </c>
      <c r="B58" s="2">
        <f>IFERROR(VLOOKUP(A58,Other!$C$1:$D$111,2,FALSE),0)</f>
        <v>21</v>
      </c>
      <c r="C58">
        <f>IFERROR(VLOOKUP(A58,Madrid!$C$1:$D$114,2,FALSE),B58)</f>
        <v>62</v>
      </c>
      <c r="D58">
        <f>IFERROR(VLOOKUP(A58,BCN!$C$1:$D$111,2,FALSE),C58)</f>
        <v>93</v>
      </c>
      <c r="E58" s="2">
        <f t="shared" si="0"/>
        <v>41</v>
      </c>
      <c r="F58" s="2">
        <f t="shared" si="0"/>
        <v>31</v>
      </c>
    </row>
    <row r="59" spans="1:6" x14ac:dyDescent="0.3">
      <c r="A59" s="1">
        <v>44724</v>
      </c>
      <c r="B59" s="2">
        <f>IFERROR(VLOOKUP(A59,Other!$C$1:$D$111,2,FALSE),0)</f>
        <v>18</v>
      </c>
      <c r="C59">
        <f>IFERROR(VLOOKUP(A59,Madrid!$C$1:$D$114,2,FALSE),B59)</f>
        <v>60</v>
      </c>
      <c r="D59">
        <f>IFERROR(VLOOKUP(A59,BCN!$C$1:$D$111,2,FALSE),C59)</f>
        <v>86</v>
      </c>
      <c r="E59" s="2">
        <f t="shared" si="0"/>
        <v>42</v>
      </c>
      <c r="F59" s="2">
        <f t="shared" si="0"/>
        <v>26</v>
      </c>
    </row>
    <row r="60" spans="1:6" x14ac:dyDescent="0.3">
      <c r="A60" s="1">
        <v>44725</v>
      </c>
      <c r="B60" s="2">
        <f>IFERROR(VLOOKUP(A60,Other!$C$1:$D$111,2,FALSE),0)</f>
        <v>27</v>
      </c>
      <c r="C60">
        <f>IFERROR(VLOOKUP(A60,Madrid!$C$1:$D$114,2,FALSE),B60)</f>
        <v>59</v>
      </c>
      <c r="D60">
        <f>IFERROR(VLOOKUP(A60,BCN!$C$1:$D$111,2,FALSE),C60)</f>
        <v>82</v>
      </c>
      <c r="E60" s="2">
        <f t="shared" si="0"/>
        <v>32</v>
      </c>
      <c r="F60" s="2">
        <f t="shared" si="0"/>
        <v>23</v>
      </c>
    </row>
    <row r="61" spans="1:6" x14ac:dyDescent="0.3">
      <c r="A61" s="1">
        <v>44726</v>
      </c>
      <c r="B61" s="2">
        <f>IFERROR(VLOOKUP(A61,Other!$C$1:$D$111,2,FALSE),0)</f>
        <v>25</v>
      </c>
      <c r="C61">
        <f>IFERROR(VLOOKUP(A61,Madrid!$C$1:$D$114,2,FALSE),B61)</f>
        <v>54</v>
      </c>
      <c r="D61">
        <f>IFERROR(VLOOKUP(A61,BCN!$C$1:$D$111,2,FALSE),C61)</f>
        <v>83</v>
      </c>
      <c r="E61" s="2">
        <f t="shared" si="0"/>
        <v>29</v>
      </c>
      <c r="F61" s="2">
        <f t="shared" si="0"/>
        <v>29</v>
      </c>
    </row>
    <row r="62" spans="1:6" x14ac:dyDescent="0.3">
      <c r="A62" s="1">
        <v>44727</v>
      </c>
      <c r="B62" s="2">
        <f>IFERROR(VLOOKUP(A62,Other!$C$1:$D$111,2,FALSE),0)</f>
        <v>32</v>
      </c>
      <c r="C62">
        <f>IFERROR(VLOOKUP(A62,Madrid!$C$1:$D$114,2,FALSE),B62)</f>
        <v>54</v>
      </c>
      <c r="D62">
        <f>IFERROR(VLOOKUP(A62,BCN!$C$1:$D$111,2,FALSE),C62)</f>
        <v>89</v>
      </c>
      <c r="E62" s="2">
        <f t="shared" si="0"/>
        <v>22</v>
      </c>
      <c r="F62" s="2">
        <f t="shared" si="0"/>
        <v>35</v>
      </c>
    </row>
    <row r="63" spans="1:6" x14ac:dyDescent="0.3">
      <c r="A63" s="1">
        <v>44728</v>
      </c>
      <c r="B63" s="2">
        <f>IFERROR(VLOOKUP(A63,Other!$C$1:$D$111,2,FALSE),0)</f>
        <v>23</v>
      </c>
      <c r="C63">
        <f>IFERROR(VLOOKUP(A63,Madrid!$C$1:$D$114,2,FALSE),B63)</f>
        <v>54</v>
      </c>
      <c r="D63">
        <f>IFERROR(VLOOKUP(A63,BCN!$C$1:$D$111,2,FALSE),C63)</f>
        <v>83</v>
      </c>
      <c r="E63" s="2">
        <f t="shared" si="0"/>
        <v>31</v>
      </c>
      <c r="F63" s="2">
        <f t="shared" si="0"/>
        <v>29</v>
      </c>
    </row>
    <row r="64" spans="1:6" x14ac:dyDescent="0.3">
      <c r="A64" s="1">
        <v>44729</v>
      </c>
      <c r="B64" s="2">
        <f>IFERROR(VLOOKUP(A64,Other!$C$1:$D$111,2,FALSE),0)</f>
        <v>28</v>
      </c>
      <c r="C64">
        <f>IFERROR(VLOOKUP(A64,Madrid!$C$1:$D$114,2,FALSE),B64)</f>
        <v>57</v>
      </c>
      <c r="D64">
        <f>IFERROR(VLOOKUP(A64,BCN!$C$1:$D$111,2,FALSE),C64)</f>
        <v>85</v>
      </c>
      <c r="E64" s="2">
        <f t="shared" si="0"/>
        <v>29</v>
      </c>
      <c r="F64" s="2">
        <f t="shared" si="0"/>
        <v>28</v>
      </c>
    </row>
    <row r="65" spans="1:6" x14ac:dyDescent="0.3">
      <c r="A65" s="1">
        <v>44730</v>
      </c>
      <c r="B65" s="2">
        <f>IFERROR(VLOOKUP(A65,Other!$C$1:$D$111,2,FALSE),0)</f>
        <v>23</v>
      </c>
      <c r="C65">
        <f>IFERROR(VLOOKUP(A65,Madrid!$C$1:$D$114,2,FALSE),B65)</f>
        <v>60</v>
      </c>
      <c r="D65">
        <f>IFERROR(VLOOKUP(A65,BCN!$C$1:$D$111,2,FALSE),C65)</f>
        <v>108</v>
      </c>
      <c r="E65" s="2">
        <f t="shared" si="0"/>
        <v>37</v>
      </c>
      <c r="F65" s="2">
        <f t="shared" si="0"/>
        <v>48</v>
      </c>
    </row>
    <row r="66" spans="1:6" x14ac:dyDescent="0.3">
      <c r="A66" s="1">
        <v>44731</v>
      </c>
      <c r="B66" s="2">
        <f>IFERROR(VLOOKUP(A66,Other!$C$1:$D$111,2,FALSE),0)</f>
        <v>32</v>
      </c>
      <c r="C66">
        <f>IFERROR(VLOOKUP(A66,Madrid!$C$1:$D$114,2,FALSE),B66)</f>
        <v>71</v>
      </c>
      <c r="D66">
        <f>IFERROR(VLOOKUP(A66,BCN!$C$1:$D$111,2,FALSE),C66)</f>
        <v>105</v>
      </c>
      <c r="E66" s="2">
        <f t="shared" si="0"/>
        <v>39</v>
      </c>
      <c r="F66" s="2">
        <f t="shared" si="0"/>
        <v>34</v>
      </c>
    </row>
    <row r="67" spans="1:6" x14ac:dyDescent="0.3">
      <c r="A67" s="1">
        <v>44732</v>
      </c>
      <c r="B67" s="2">
        <f>IFERROR(VLOOKUP(A67,Other!$C$1:$D$111,2,FALSE),0)</f>
        <v>29</v>
      </c>
      <c r="C67">
        <f>IFERROR(VLOOKUP(A67,Madrid!$C$1:$D$114,2,FALSE),B67)</f>
        <v>51</v>
      </c>
      <c r="D67">
        <f>IFERROR(VLOOKUP(A67,BCN!$C$1:$D$111,2,FALSE),C67)</f>
        <v>85</v>
      </c>
      <c r="E67" s="2">
        <f t="shared" ref="E67:F130" si="1">C67-B67</f>
        <v>22</v>
      </c>
      <c r="F67" s="2">
        <f t="shared" si="1"/>
        <v>34</v>
      </c>
    </row>
    <row r="68" spans="1:6" x14ac:dyDescent="0.3">
      <c r="A68" s="1">
        <v>44733</v>
      </c>
      <c r="B68" s="2">
        <f>IFERROR(VLOOKUP(A68,Other!$C$1:$D$111,2,FALSE),0)</f>
        <v>25</v>
      </c>
      <c r="C68">
        <f>IFERROR(VLOOKUP(A68,Madrid!$C$1:$D$114,2,FALSE),B68)</f>
        <v>62</v>
      </c>
      <c r="D68">
        <f>IFERROR(VLOOKUP(A68,BCN!$C$1:$D$111,2,FALSE),C68)</f>
        <v>94</v>
      </c>
      <c r="E68" s="2">
        <f t="shared" si="1"/>
        <v>37</v>
      </c>
      <c r="F68" s="2">
        <f t="shared" si="1"/>
        <v>32</v>
      </c>
    </row>
    <row r="69" spans="1:6" x14ac:dyDescent="0.3">
      <c r="A69" s="1">
        <v>44734</v>
      </c>
      <c r="B69" s="2">
        <f>IFERROR(VLOOKUP(A69,Other!$C$1:$D$111,2,FALSE),0)</f>
        <v>36</v>
      </c>
      <c r="C69">
        <f>IFERROR(VLOOKUP(A69,Madrid!$C$1:$D$114,2,FALSE),B69)</f>
        <v>75</v>
      </c>
      <c r="D69">
        <f>IFERROR(VLOOKUP(A69,BCN!$C$1:$D$111,2,FALSE),C69)</f>
        <v>107</v>
      </c>
      <c r="E69" s="2">
        <f t="shared" si="1"/>
        <v>39</v>
      </c>
      <c r="F69" s="2">
        <f t="shared" si="1"/>
        <v>32</v>
      </c>
    </row>
    <row r="70" spans="1:6" x14ac:dyDescent="0.3">
      <c r="A70" s="1">
        <v>44735</v>
      </c>
      <c r="B70" s="2">
        <f>IFERROR(VLOOKUP(A70,Other!$C$1:$D$111,2,FALSE),0)</f>
        <v>26</v>
      </c>
      <c r="C70">
        <f>IFERROR(VLOOKUP(A70,Madrid!$C$1:$D$114,2,FALSE),B70)</f>
        <v>51</v>
      </c>
      <c r="D70">
        <f>IFERROR(VLOOKUP(A70,BCN!$C$1:$D$111,2,FALSE),C70)</f>
        <v>79</v>
      </c>
      <c r="E70" s="2">
        <f t="shared" si="1"/>
        <v>25</v>
      </c>
      <c r="F70" s="2">
        <f t="shared" si="1"/>
        <v>28</v>
      </c>
    </row>
    <row r="71" spans="1:6" x14ac:dyDescent="0.3">
      <c r="A71" s="1">
        <v>44736</v>
      </c>
      <c r="B71" s="2">
        <f>IFERROR(VLOOKUP(A71,Other!$C$1:$D$111,2,FALSE),0)</f>
        <v>24</v>
      </c>
      <c r="C71">
        <f>IFERROR(VLOOKUP(A71,Madrid!$C$1:$D$114,2,FALSE),B71)</f>
        <v>54</v>
      </c>
      <c r="D71">
        <f>IFERROR(VLOOKUP(A71,BCN!$C$1:$D$111,2,FALSE),C71)</f>
        <v>83</v>
      </c>
      <c r="E71" s="2">
        <f t="shared" si="1"/>
        <v>30</v>
      </c>
      <c r="F71" s="2">
        <f t="shared" si="1"/>
        <v>29</v>
      </c>
    </row>
    <row r="72" spans="1:6" x14ac:dyDescent="0.3">
      <c r="A72" s="1">
        <v>44737</v>
      </c>
      <c r="B72" s="2">
        <f>IFERROR(VLOOKUP(A72,Other!$C$1:$D$111,2,FALSE),0)</f>
        <v>38</v>
      </c>
      <c r="C72">
        <f>IFERROR(VLOOKUP(A72,Madrid!$C$1:$D$114,2,FALSE),B72)</f>
        <v>84</v>
      </c>
      <c r="D72">
        <f>IFERROR(VLOOKUP(A72,BCN!$C$1:$D$111,2,FALSE),C72)</f>
        <v>130</v>
      </c>
      <c r="E72" s="2">
        <f t="shared" si="1"/>
        <v>46</v>
      </c>
      <c r="F72" s="2">
        <f t="shared" si="1"/>
        <v>46</v>
      </c>
    </row>
    <row r="73" spans="1:6" x14ac:dyDescent="0.3">
      <c r="A73" s="1">
        <v>44738</v>
      </c>
      <c r="B73" s="2">
        <f>IFERROR(VLOOKUP(A73,Other!$C$1:$D$111,2,FALSE),0)</f>
        <v>33</v>
      </c>
      <c r="C73">
        <f>IFERROR(VLOOKUP(A73,Madrid!$C$1:$D$114,2,FALSE),B73)</f>
        <v>81</v>
      </c>
      <c r="D73">
        <f>IFERROR(VLOOKUP(A73,BCN!$C$1:$D$111,2,FALSE),C73)</f>
        <v>127</v>
      </c>
      <c r="E73" s="2">
        <f t="shared" si="1"/>
        <v>48</v>
      </c>
      <c r="F73" s="2">
        <f t="shared" si="1"/>
        <v>46</v>
      </c>
    </row>
    <row r="74" spans="1:6" x14ac:dyDescent="0.3">
      <c r="A74" s="1">
        <v>44739</v>
      </c>
      <c r="B74" s="2">
        <f>IFERROR(VLOOKUP(A74,Other!$C$1:$D$111,2,FALSE),0)</f>
        <v>40</v>
      </c>
      <c r="C74">
        <f>IFERROR(VLOOKUP(A74,Madrid!$C$1:$D$114,2,FALSE),B74)</f>
        <v>69</v>
      </c>
      <c r="D74">
        <f>IFERROR(VLOOKUP(A74,BCN!$C$1:$D$111,2,FALSE),C74)</f>
        <v>119</v>
      </c>
      <c r="E74" s="2">
        <f t="shared" si="1"/>
        <v>29</v>
      </c>
      <c r="F74" s="2">
        <f t="shared" si="1"/>
        <v>50</v>
      </c>
    </row>
    <row r="75" spans="1:6" x14ac:dyDescent="0.3">
      <c r="A75" s="1">
        <v>44740</v>
      </c>
      <c r="B75" s="2">
        <f>IFERROR(VLOOKUP(A75,Other!$C$1:$D$111,2,FALSE),0)</f>
        <v>46</v>
      </c>
      <c r="C75">
        <f>IFERROR(VLOOKUP(A75,Madrid!$C$1:$D$114,2,FALSE),B75)</f>
        <v>82</v>
      </c>
      <c r="D75">
        <f>IFERROR(VLOOKUP(A75,BCN!$C$1:$D$111,2,FALSE),C75)</f>
        <v>132</v>
      </c>
      <c r="E75" s="2">
        <f t="shared" si="1"/>
        <v>36</v>
      </c>
      <c r="F75" s="2">
        <f t="shared" si="1"/>
        <v>50</v>
      </c>
    </row>
    <row r="76" spans="1:6" x14ac:dyDescent="0.3">
      <c r="A76" s="1">
        <v>44741</v>
      </c>
      <c r="B76" s="2">
        <f>IFERROR(VLOOKUP(A76,Other!$C$1:$D$111,2,FALSE),0)</f>
        <v>35</v>
      </c>
      <c r="C76">
        <f>IFERROR(VLOOKUP(A76,Madrid!$C$1:$D$114,2,FALSE),B76)</f>
        <v>67</v>
      </c>
      <c r="D76">
        <f>IFERROR(VLOOKUP(A76,BCN!$C$1:$D$111,2,FALSE),C76)</f>
        <v>104</v>
      </c>
      <c r="E76" s="2">
        <f t="shared" si="1"/>
        <v>32</v>
      </c>
      <c r="F76" s="2">
        <f t="shared" si="1"/>
        <v>37</v>
      </c>
    </row>
    <row r="77" spans="1:6" x14ac:dyDescent="0.3">
      <c r="A77" s="1">
        <v>44742</v>
      </c>
      <c r="B77" s="2">
        <f>IFERROR(VLOOKUP(A77,Other!$C$1:$D$111,2,FALSE),0)</f>
        <v>30</v>
      </c>
      <c r="C77">
        <f>IFERROR(VLOOKUP(A77,Madrid!$C$1:$D$114,2,FALSE),B77)</f>
        <v>46</v>
      </c>
      <c r="D77">
        <f>IFERROR(VLOOKUP(A77,BCN!$C$1:$D$111,2,FALSE),C77)</f>
        <v>89</v>
      </c>
      <c r="E77" s="2">
        <f t="shared" si="1"/>
        <v>16</v>
      </c>
      <c r="F77" s="2">
        <f t="shared" si="1"/>
        <v>43</v>
      </c>
    </row>
    <row r="78" spans="1:6" x14ac:dyDescent="0.3">
      <c r="A78" s="1">
        <v>44743</v>
      </c>
      <c r="B78" s="2">
        <f>IFERROR(VLOOKUP(A78,Other!$C$1:$D$111,2,FALSE),0)</f>
        <v>42</v>
      </c>
      <c r="C78">
        <f>IFERROR(VLOOKUP(A78,Madrid!$C$1:$D$114,2,FALSE),B78)</f>
        <v>77</v>
      </c>
      <c r="D78">
        <f>IFERROR(VLOOKUP(A78,BCN!$C$1:$D$111,2,FALSE),C78)</f>
        <v>105</v>
      </c>
      <c r="E78" s="2">
        <f t="shared" si="1"/>
        <v>35</v>
      </c>
      <c r="F78" s="2">
        <f t="shared" si="1"/>
        <v>28</v>
      </c>
    </row>
    <row r="79" spans="1:6" x14ac:dyDescent="0.3">
      <c r="A79" s="1">
        <v>44744</v>
      </c>
      <c r="B79" s="2">
        <f>IFERROR(VLOOKUP(A79,Other!$C$1:$D$111,2,FALSE),0)</f>
        <v>53</v>
      </c>
      <c r="C79">
        <f>IFERROR(VLOOKUP(A79,Madrid!$C$1:$D$114,2,FALSE),B79)</f>
        <v>89</v>
      </c>
      <c r="D79">
        <f>IFERROR(VLOOKUP(A79,BCN!$C$1:$D$111,2,FALSE),C79)</f>
        <v>125</v>
      </c>
      <c r="E79" s="2">
        <f t="shared" si="1"/>
        <v>36</v>
      </c>
      <c r="F79" s="2">
        <f t="shared" si="1"/>
        <v>36</v>
      </c>
    </row>
    <row r="80" spans="1:6" x14ac:dyDescent="0.3">
      <c r="A80" s="1">
        <v>44745</v>
      </c>
      <c r="B80" s="2">
        <f>IFERROR(VLOOKUP(A80,Other!$C$1:$D$111,2,FALSE),0)</f>
        <v>46</v>
      </c>
      <c r="C80">
        <f>IFERROR(VLOOKUP(A80,Madrid!$C$1:$D$114,2,FALSE),B80)</f>
        <v>82</v>
      </c>
      <c r="D80">
        <f>IFERROR(VLOOKUP(A80,BCN!$C$1:$D$111,2,FALSE),C80)</f>
        <v>120</v>
      </c>
      <c r="E80" s="2">
        <f t="shared" si="1"/>
        <v>36</v>
      </c>
      <c r="F80" s="2">
        <f t="shared" si="1"/>
        <v>38</v>
      </c>
    </row>
    <row r="81" spans="1:6" x14ac:dyDescent="0.3">
      <c r="A81" s="1">
        <v>44746</v>
      </c>
      <c r="B81" s="2">
        <f>IFERROR(VLOOKUP(A81,Other!$C$1:$D$111,2,FALSE),0)</f>
        <v>38</v>
      </c>
      <c r="C81">
        <f>IFERROR(VLOOKUP(A81,Madrid!$C$1:$D$114,2,FALSE),B81)</f>
        <v>69</v>
      </c>
      <c r="D81">
        <f>IFERROR(VLOOKUP(A81,BCN!$C$1:$D$111,2,FALSE),C81)</f>
        <v>91</v>
      </c>
      <c r="E81" s="2">
        <f t="shared" si="1"/>
        <v>31</v>
      </c>
      <c r="F81" s="2">
        <f t="shared" si="1"/>
        <v>22</v>
      </c>
    </row>
    <row r="82" spans="1:6" x14ac:dyDescent="0.3">
      <c r="A82" s="1">
        <v>44747</v>
      </c>
      <c r="B82" s="2">
        <f>IFERROR(VLOOKUP(A82,Other!$C$1:$D$111,2,FALSE),0)</f>
        <v>42</v>
      </c>
      <c r="C82">
        <f>IFERROR(VLOOKUP(A82,Madrid!$C$1:$D$114,2,FALSE),B82)</f>
        <v>76</v>
      </c>
      <c r="D82">
        <f>IFERROR(VLOOKUP(A82,BCN!$C$1:$D$111,2,FALSE),C82)</f>
        <v>113</v>
      </c>
      <c r="E82" s="2">
        <f t="shared" si="1"/>
        <v>34</v>
      </c>
      <c r="F82" s="2">
        <f t="shared" si="1"/>
        <v>37</v>
      </c>
    </row>
    <row r="83" spans="1:6" x14ac:dyDescent="0.3">
      <c r="A83" s="1">
        <v>44748</v>
      </c>
      <c r="B83" s="2">
        <f>IFERROR(VLOOKUP(A83,Other!$C$1:$D$111,2,FALSE),0)</f>
        <v>64</v>
      </c>
      <c r="C83">
        <f>IFERROR(VLOOKUP(A83,Madrid!$C$1:$D$114,2,FALSE),B83)</f>
        <v>92</v>
      </c>
      <c r="D83">
        <f>IFERROR(VLOOKUP(A83,BCN!$C$1:$D$111,2,FALSE),C83)</f>
        <v>124</v>
      </c>
      <c r="E83" s="2">
        <f t="shared" si="1"/>
        <v>28</v>
      </c>
      <c r="F83" s="2">
        <f t="shared" si="1"/>
        <v>32</v>
      </c>
    </row>
    <row r="84" spans="1:6" x14ac:dyDescent="0.3">
      <c r="A84" s="1">
        <v>44749</v>
      </c>
      <c r="B84" s="2">
        <f>IFERROR(VLOOKUP(A84,Other!$C$1:$D$111,2,FALSE),0)</f>
        <v>40</v>
      </c>
      <c r="C84">
        <f>IFERROR(VLOOKUP(A84,Madrid!$C$1:$D$114,2,FALSE),B84)</f>
        <v>73</v>
      </c>
      <c r="D84">
        <f>IFERROR(VLOOKUP(A84,BCN!$C$1:$D$111,2,FALSE),C84)</f>
        <v>98</v>
      </c>
      <c r="E84" s="2">
        <f t="shared" si="1"/>
        <v>33</v>
      </c>
      <c r="F84" s="2">
        <f t="shared" si="1"/>
        <v>25</v>
      </c>
    </row>
    <row r="85" spans="1:6" x14ac:dyDescent="0.3">
      <c r="A85" s="1">
        <v>44750</v>
      </c>
      <c r="B85" s="2">
        <f>IFERROR(VLOOKUP(A85,Other!$C$1:$D$111,2,FALSE),0)</f>
        <v>37</v>
      </c>
      <c r="C85">
        <f>IFERROR(VLOOKUP(A85,Madrid!$C$1:$D$114,2,FALSE),B85)</f>
        <v>54</v>
      </c>
      <c r="D85">
        <f>IFERROR(VLOOKUP(A85,BCN!$C$1:$D$111,2,FALSE),C85)</f>
        <v>86</v>
      </c>
      <c r="E85" s="2">
        <f t="shared" si="1"/>
        <v>17</v>
      </c>
      <c r="F85" s="2">
        <f t="shared" si="1"/>
        <v>32</v>
      </c>
    </row>
    <row r="86" spans="1:6" x14ac:dyDescent="0.3">
      <c r="A86" s="1">
        <v>44751</v>
      </c>
      <c r="B86" s="2">
        <f>IFERROR(VLOOKUP(A86,Other!$C$1:$D$111,2,FALSE),0)</f>
        <v>54</v>
      </c>
      <c r="C86">
        <f>IFERROR(VLOOKUP(A86,Madrid!$C$1:$D$114,2,FALSE),B86)</f>
        <v>76</v>
      </c>
      <c r="D86">
        <f>IFERROR(VLOOKUP(A86,BCN!$C$1:$D$111,2,FALSE),C86)</f>
        <v>138</v>
      </c>
      <c r="E86" s="2">
        <f t="shared" si="1"/>
        <v>22</v>
      </c>
      <c r="F86" s="2">
        <f t="shared" si="1"/>
        <v>62</v>
      </c>
    </row>
    <row r="87" spans="1:6" x14ac:dyDescent="0.3">
      <c r="A87" s="1">
        <v>44752</v>
      </c>
      <c r="B87" s="2">
        <f>IFERROR(VLOOKUP(A87,Other!$C$1:$D$111,2,FALSE),0)</f>
        <v>43</v>
      </c>
      <c r="C87">
        <f>IFERROR(VLOOKUP(A87,Madrid!$C$1:$D$114,2,FALSE),B87)</f>
        <v>70</v>
      </c>
      <c r="D87">
        <f>IFERROR(VLOOKUP(A87,BCN!$C$1:$D$111,2,FALSE),C87)</f>
        <v>103</v>
      </c>
      <c r="E87" s="2">
        <f t="shared" si="1"/>
        <v>27</v>
      </c>
      <c r="F87" s="2">
        <f t="shared" si="1"/>
        <v>33</v>
      </c>
    </row>
    <row r="88" spans="1:6" x14ac:dyDescent="0.3">
      <c r="A88" s="1">
        <v>44753</v>
      </c>
      <c r="B88" s="2">
        <f>IFERROR(VLOOKUP(A88,Other!$C$1:$D$111,2,FALSE),0)</f>
        <v>69</v>
      </c>
      <c r="C88">
        <f>IFERROR(VLOOKUP(A88,Madrid!$C$1:$D$114,2,FALSE),B88)</f>
        <v>99</v>
      </c>
      <c r="D88">
        <f>IFERROR(VLOOKUP(A88,BCN!$C$1:$D$111,2,FALSE),C88)</f>
        <v>128</v>
      </c>
      <c r="E88" s="2">
        <f t="shared" si="1"/>
        <v>30</v>
      </c>
      <c r="F88" s="2">
        <f t="shared" si="1"/>
        <v>29</v>
      </c>
    </row>
    <row r="89" spans="1:6" x14ac:dyDescent="0.3">
      <c r="A89" s="1">
        <v>44754</v>
      </c>
      <c r="B89" s="2">
        <f>IFERROR(VLOOKUP(A89,Other!$C$1:$D$111,2,FALSE),0)</f>
        <v>42</v>
      </c>
      <c r="C89">
        <f>IFERROR(VLOOKUP(A89,Madrid!$C$1:$D$114,2,FALSE),B89)</f>
        <v>63</v>
      </c>
      <c r="D89">
        <f>IFERROR(VLOOKUP(A89,BCN!$C$1:$D$111,2,FALSE),C89)</f>
        <v>88</v>
      </c>
      <c r="E89" s="2">
        <f t="shared" si="1"/>
        <v>21</v>
      </c>
      <c r="F89" s="2">
        <f t="shared" si="1"/>
        <v>25</v>
      </c>
    </row>
    <row r="90" spans="1:6" x14ac:dyDescent="0.3">
      <c r="A90" s="1">
        <v>44755</v>
      </c>
      <c r="B90" s="2">
        <f>IFERROR(VLOOKUP(A90,Other!$C$1:$D$111,2,FALSE),0)</f>
        <v>51</v>
      </c>
      <c r="C90">
        <f>IFERROR(VLOOKUP(A90,Madrid!$C$1:$D$114,2,FALSE),B90)</f>
        <v>84</v>
      </c>
      <c r="D90">
        <f>IFERROR(VLOOKUP(A90,BCN!$C$1:$D$111,2,FALSE),C90)</f>
        <v>105</v>
      </c>
      <c r="E90" s="2">
        <f t="shared" si="1"/>
        <v>33</v>
      </c>
      <c r="F90" s="2">
        <f t="shared" si="1"/>
        <v>21</v>
      </c>
    </row>
    <row r="91" spans="1:6" x14ac:dyDescent="0.3">
      <c r="A91" s="1">
        <v>44756</v>
      </c>
      <c r="B91" s="2">
        <f>IFERROR(VLOOKUP(A91,Other!$C$1:$D$111,2,FALSE),0)</f>
        <v>49</v>
      </c>
      <c r="C91">
        <f>IFERROR(VLOOKUP(A91,Madrid!$C$1:$D$114,2,FALSE),B91)</f>
        <v>69</v>
      </c>
      <c r="D91">
        <f>IFERROR(VLOOKUP(A91,BCN!$C$1:$D$111,2,FALSE),C91)</f>
        <v>92</v>
      </c>
      <c r="E91" s="2">
        <f t="shared" si="1"/>
        <v>20</v>
      </c>
      <c r="F91" s="2">
        <f t="shared" si="1"/>
        <v>23</v>
      </c>
    </row>
    <row r="92" spans="1:6" x14ac:dyDescent="0.3">
      <c r="A92" s="1">
        <v>44757</v>
      </c>
      <c r="B92" s="2">
        <f>IFERROR(VLOOKUP(A92,Other!$C$1:$D$111,2,FALSE),0)</f>
        <v>44</v>
      </c>
      <c r="C92">
        <f>IFERROR(VLOOKUP(A92,Madrid!$C$1:$D$114,2,FALSE),B92)</f>
        <v>68</v>
      </c>
      <c r="D92">
        <f>IFERROR(VLOOKUP(A92,BCN!$C$1:$D$111,2,FALSE),C92)</f>
        <v>89</v>
      </c>
      <c r="E92" s="2">
        <f t="shared" si="1"/>
        <v>24</v>
      </c>
      <c r="F92" s="2">
        <f t="shared" si="1"/>
        <v>21</v>
      </c>
    </row>
    <row r="93" spans="1:6" x14ac:dyDescent="0.3">
      <c r="A93" s="1">
        <v>44758</v>
      </c>
      <c r="B93" s="2">
        <f>IFERROR(VLOOKUP(A93,Other!$C$1:$D$111,2,FALSE),0)</f>
        <v>58</v>
      </c>
      <c r="C93">
        <f>IFERROR(VLOOKUP(A93,Madrid!$C$1:$D$114,2,FALSE),B93)</f>
        <v>84</v>
      </c>
      <c r="D93">
        <f>IFERROR(VLOOKUP(A93,BCN!$C$1:$D$111,2,FALSE),C93)</f>
        <v>111</v>
      </c>
      <c r="E93" s="2">
        <f t="shared" si="1"/>
        <v>26</v>
      </c>
      <c r="F93" s="2">
        <f t="shared" si="1"/>
        <v>27</v>
      </c>
    </row>
    <row r="94" spans="1:6" x14ac:dyDescent="0.3">
      <c r="A94" s="1">
        <v>44759</v>
      </c>
      <c r="B94" s="2">
        <f>IFERROR(VLOOKUP(A94,Other!$C$1:$D$111,2,FALSE),0)</f>
        <v>37</v>
      </c>
      <c r="C94">
        <f>IFERROR(VLOOKUP(A94,Madrid!$C$1:$D$114,2,FALSE),B94)</f>
        <v>60</v>
      </c>
      <c r="D94">
        <f>IFERROR(VLOOKUP(A94,BCN!$C$1:$D$111,2,FALSE),C94)</f>
        <v>76</v>
      </c>
      <c r="E94" s="2">
        <f t="shared" si="1"/>
        <v>23</v>
      </c>
      <c r="F94" s="2">
        <f t="shared" si="1"/>
        <v>16</v>
      </c>
    </row>
    <row r="95" spans="1:6" x14ac:dyDescent="0.3">
      <c r="A95" s="1">
        <v>44760</v>
      </c>
      <c r="B95" s="2">
        <f>IFERROR(VLOOKUP(A95,Other!$C$1:$D$111,2,FALSE),0)</f>
        <v>40</v>
      </c>
      <c r="C95">
        <f>IFERROR(VLOOKUP(A95,Madrid!$C$1:$D$114,2,FALSE),B95)</f>
        <v>60</v>
      </c>
      <c r="D95">
        <f>IFERROR(VLOOKUP(A95,BCN!$C$1:$D$111,2,FALSE),C95)</f>
        <v>81</v>
      </c>
      <c r="E95" s="2">
        <f t="shared" si="1"/>
        <v>20</v>
      </c>
      <c r="F95" s="2">
        <f t="shared" si="1"/>
        <v>21</v>
      </c>
    </row>
    <row r="96" spans="1:6" x14ac:dyDescent="0.3">
      <c r="A96" s="1">
        <v>44761</v>
      </c>
      <c r="B96" s="2">
        <f>IFERROR(VLOOKUP(A96,Other!$C$1:$D$111,2,FALSE),0)</f>
        <v>40</v>
      </c>
      <c r="C96">
        <f>IFERROR(VLOOKUP(A96,Madrid!$C$1:$D$114,2,FALSE),B96)</f>
        <v>65</v>
      </c>
      <c r="D96">
        <f>IFERROR(VLOOKUP(A96,BCN!$C$1:$D$111,2,FALSE),C96)</f>
        <v>87</v>
      </c>
      <c r="E96" s="2">
        <f t="shared" si="1"/>
        <v>25</v>
      </c>
      <c r="F96" s="2">
        <f t="shared" si="1"/>
        <v>22</v>
      </c>
    </row>
    <row r="97" spans="1:6" x14ac:dyDescent="0.3">
      <c r="A97" s="1">
        <v>44762</v>
      </c>
      <c r="B97" s="2">
        <f>IFERROR(VLOOKUP(A97,Other!$C$1:$D$111,2,FALSE),0)</f>
        <v>30</v>
      </c>
      <c r="C97">
        <f>IFERROR(VLOOKUP(A97,Madrid!$C$1:$D$114,2,FALSE),B97)</f>
        <v>45</v>
      </c>
      <c r="D97">
        <f>IFERROR(VLOOKUP(A97,BCN!$C$1:$D$111,2,FALSE),C97)</f>
        <v>67</v>
      </c>
      <c r="E97" s="2">
        <f t="shared" si="1"/>
        <v>15</v>
      </c>
      <c r="F97" s="2">
        <f t="shared" si="1"/>
        <v>22</v>
      </c>
    </row>
    <row r="98" spans="1:6" x14ac:dyDescent="0.3">
      <c r="A98" s="1">
        <v>44763</v>
      </c>
      <c r="B98" s="2">
        <f>IFERROR(VLOOKUP(A98,Other!$C$1:$D$111,2,FALSE),0)</f>
        <v>24</v>
      </c>
      <c r="C98">
        <f>IFERROR(VLOOKUP(A98,Madrid!$C$1:$D$114,2,FALSE),B98)</f>
        <v>48</v>
      </c>
      <c r="D98">
        <f>IFERROR(VLOOKUP(A98,BCN!$C$1:$D$111,2,FALSE),C98)</f>
        <v>57</v>
      </c>
      <c r="E98" s="2">
        <f t="shared" si="1"/>
        <v>24</v>
      </c>
      <c r="F98" s="2">
        <f t="shared" si="1"/>
        <v>9</v>
      </c>
    </row>
    <row r="99" spans="1:6" x14ac:dyDescent="0.3">
      <c r="A99" s="1">
        <v>44764</v>
      </c>
      <c r="B99" s="2">
        <f>IFERROR(VLOOKUP(A99,Other!$C$1:$D$111,2,FALSE),0)</f>
        <v>25</v>
      </c>
      <c r="C99">
        <f>IFERROR(VLOOKUP(A99,Madrid!$C$1:$D$114,2,FALSE),B99)</f>
        <v>43</v>
      </c>
      <c r="D99">
        <f>IFERROR(VLOOKUP(A99,BCN!$C$1:$D$111,2,FALSE),C99)</f>
        <v>59</v>
      </c>
      <c r="E99" s="2">
        <f t="shared" si="1"/>
        <v>18</v>
      </c>
      <c r="F99" s="2">
        <f t="shared" si="1"/>
        <v>16</v>
      </c>
    </row>
    <row r="100" spans="1:6" x14ac:dyDescent="0.3">
      <c r="A100" s="1">
        <v>44765</v>
      </c>
      <c r="B100" s="2">
        <f>IFERROR(VLOOKUP(A100,Other!$C$1:$D$111,2,FALSE),0)</f>
        <v>54</v>
      </c>
      <c r="C100">
        <f>IFERROR(VLOOKUP(A100,Madrid!$C$1:$D$114,2,FALSE),B100)</f>
        <v>80</v>
      </c>
      <c r="D100">
        <f>IFERROR(VLOOKUP(A100,BCN!$C$1:$D$111,2,FALSE),C100)</f>
        <v>102</v>
      </c>
      <c r="E100" s="2">
        <f t="shared" si="1"/>
        <v>26</v>
      </c>
      <c r="F100" s="2">
        <f t="shared" si="1"/>
        <v>22</v>
      </c>
    </row>
    <row r="101" spans="1:6" x14ac:dyDescent="0.3">
      <c r="A101" s="1">
        <v>44766</v>
      </c>
      <c r="B101" s="2">
        <f>IFERROR(VLOOKUP(A101,Other!$C$1:$D$111,2,FALSE),0)</f>
        <v>34</v>
      </c>
      <c r="C101">
        <f>IFERROR(VLOOKUP(A101,Madrid!$C$1:$D$114,2,FALSE),B101)</f>
        <v>59</v>
      </c>
      <c r="D101">
        <f>IFERROR(VLOOKUP(A101,BCN!$C$1:$D$111,2,FALSE),C101)</f>
        <v>79</v>
      </c>
      <c r="E101" s="2">
        <f t="shared" si="1"/>
        <v>25</v>
      </c>
      <c r="F101" s="2">
        <f t="shared" si="1"/>
        <v>20</v>
      </c>
    </row>
    <row r="102" spans="1:6" x14ac:dyDescent="0.3">
      <c r="A102" s="1">
        <v>44767</v>
      </c>
      <c r="B102" s="2">
        <f>IFERROR(VLOOKUP(A102,Other!$C$1:$D$111,2,FALSE),0)</f>
        <v>47</v>
      </c>
      <c r="C102">
        <f>IFERROR(VLOOKUP(A102,Madrid!$C$1:$D$114,2,FALSE),B102)</f>
        <v>58</v>
      </c>
      <c r="D102">
        <f>IFERROR(VLOOKUP(A102,BCN!$C$1:$D$111,2,FALSE),C102)</f>
        <v>77</v>
      </c>
      <c r="E102" s="2">
        <f t="shared" si="1"/>
        <v>11</v>
      </c>
      <c r="F102" s="2">
        <f t="shared" si="1"/>
        <v>19</v>
      </c>
    </row>
    <row r="103" spans="1:6" x14ac:dyDescent="0.3">
      <c r="A103" s="1">
        <v>44768</v>
      </c>
      <c r="B103" s="2">
        <f>IFERROR(VLOOKUP(A103,Other!$C$1:$D$111,2,FALSE),0)</f>
        <v>27</v>
      </c>
      <c r="C103">
        <f>IFERROR(VLOOKUP(A103,Madrid!$C$1:$D$114,2,FALSE),B103)</f>
        <v>34</v>
      </c>
      <c r="D103">
        <f>IFERROR(VLOOKUP(A103,BCN!$C$1:$D$111,2,FALSE),C103)</f>
        <v>45</v>
      </c>
      <c r="E103" s="2">
        <f t="shared" si="1"/>
        <v>7</v>
      </c>
      <c r="F103" s="2">
        <f t="shared" si="1"/>
        <v>11</v>
      </c>
    </row>
    <row r="104" spans="1:6" x14ac:dyDescent="0.3">
      <c r="A104" s="1">
        <v>44769</v>
      </c>
      <c r="B104" s="2">
        <f>IFERROR(VLOOKUP(A104,Other!$C$1:$D$111,2,FALSE),0)</f>
        <v>36</v>
      </c>
      <c r="C104">
        <f>IFERROR(VLOOKUP(A104,Madrid!$C$1:$D$114,2,FALSE),B104)</f>
        <v>49</v>
      </c>
      <c r="D104">
        <f>IFERROR(VLOOKUP(A104,BCN!$C$1:$D$111,2,FALSE),C104)</f>
        <v>54</v>
      </c>
      <c r="E104" s="2">
        <f t="shared" si="1"/>
        <v>13</v>
      </c>
      <c r="F104" s="2">
        <f t="shared" si="1"/>
        <v>5</v>
      </c>
    </row>
    <row r="105" spans="1:6" x14ac:dyDescent="0.3">
      <c r="A105" s="1">
        <v>44770</v>
      </c>
      <c r="B105" s="2">
        <f>IFERROR(VLOOKUP(A105,Other!$C$1:$D$111,2,FALSE),0)</f>
        <v>22</v>
      </c>
      <c r="C105">
        <f>IFERROR(VLOOKUP(A105,Madrid!$C$1:$D$114,2,FALSE),B105)</f>
        <v>34</v>
      </c>
      <c r="D105">
        <f>IFERROR(VLOOKUP(A105,BCN!$C$1:$D$111,2,FALSE),C105)</f>
        <v>40</v>
      </c>
      <c r="E105" s="2">
        <f t="shared" si="1"/>
        <v>12</v>
      </c>
      <c r="F105" s="2">
        <f t="shared" si="1"/>
        <v>6</v>
      </c>
    </row>
    <row r="106" spans="1:6" x14ac:dyDescent="0.3">
      <c r="A106" s="1">
        <v>44771</v>
      </c>
      <c r="B106" s="2">
        <f>IFERROR(VLOOKUP(A106,Other!$C$1:$D$111,2,FALSE),0)</f>
        <v>28</v>
      </c>
      <c r="C106">
        <f>IFERROR(VLOOKUP(A106,Madrid!$C$1:$D$114,2,FALSE),B106)</f>
        <v>41</v>
      </c>
      <c r="D106">
        <f>IFERROR(VLOOKUP(A106,BCN!$C$1:$D$111,2,FALSE),C106)</f>
        <v>50</v>
      </c>
      <c r="E106" s="2">
        <f t="shared" si="1"/>
        <v>13</v>
      </c>
      <c r="F106" s="2">
        <f t="shared" si="1"/>
        <v>9</v>
      </c>
    </row>
    <row r="107" spans="1:6" x14ac:dyDescent="0.3">
      <c r="A107" s="1">
        <v>44772</v>
      </c>
      <c r="B107" s="2">
        <f>IFERROR(VLOOKUP(A107,Other!$C$1:$D$111,2,FALSE),0)</f>
        <v>29</v>
      </c>
      <c r="C107">
        <f>IFERROR(VLOOKUP(A107,Madrid!$C$1:$D$114,2,FALSE),B107)</f>
        <v>40</v>
      </c>
      <c r="D107">
        <f>IFERROR(VLOOKUP(A107,BCN!$C$1:$D$111,2,FALSE),C107)</f>
        <v>50</v>
      </c>
      <c r="E107" s="2">
        <f t="shared" si="1"/>
        <v>11</v>
      </c>
      <c r="F107" s="2">
        <f t="shared" si="1"/>
        <v>10</v>
      </c>
    </row>
    <row r="108" spans="1:6" x14ac:dyDescent="0.3">
      <c r="A108" s="1">
        <v>44773</v>
      </c>
      <c r="B108" s="2">
        <f>IFERROR(VLOOKUP(A108,Other!$C$1:$D$111,2,FALSE),0)</f>
        <v>24</v>
      </c>
      <c r="C108">
        <f>IFERROR(VLOOKUP(A108,Madrid!$C$1:$D$114,2,FALSE),B108)</f>
        <v>35</v>
      </c>
      <c r="D108">
        <f>IFERROR(VLOOKUP(A108,BCN!$C$1:$D$111,2,FALSE),C108)</f>
        <v>42</v>
      </c>
      <c r="E108" s="2">
        <f t="shared" si="1"/>
        <v>11</v>
      </c>
      <c r="F108" s="2">
        <f t="shared" si="1"/>
        <v>7</v>
      </c>
    </row>
    <row r="109" spans="1:6" x14ac:dyDescent="0.3">
      <c r="A109" s="1">
        <v>44774</v>
      </c>
      <c r="B109" s="2">
        <f>IFERROR(VLOOKUP(A109,Other!$C$1:$D$111,2,FALSE),0)</f>
        <v>21</v>
      </c>
      <c r="C109">
        <f>IFERROR(VLOOKUP(A109,Madrid!$C$1:$D$114,2,FALSE),B109)</f>
        <v>31</v>
      </c>
      <c r="D109">
        <f>IFERROR(VLOOKUP(A109,BCN!$C$1:$D$111,2,FALSE),C109)</f>
        <v>32</v>
      </c>
      <c r="E109" s="2">
        <f t="shared" si="1"/>
        <v>10</v>
      </c>
      <c r="F109" s="2">
        <f t="shared" si="1"/>
        <v>1</v>
      </c>
    </row>
    <row r="110" spans="1:6" x14ac:dyDescent="0.3">
      <c r="A110" s="1">
        <v>44775</v>
      </c>
      <c r="B110" s="2">
        <f>IFERROR(VLOOKUP(A110,Other!$C$1:$D$111,2,FALSE),0)</f>
        <v>19</v>
      </c>
      <c r="C110">
        <f>IFERROR(VLOOKUP(A110,Madrid!$C$1:$D$114,2,FALSE),B110)</f>
        <v>28</v>
      </c>
      <c r="D110">
        <f>IFERROR(VLOOKUP(A110,BCN!$C$1:$D$111,2,FALSE),C110)</f>
        <v>33</v>
      </c>
      <c r="E110" s="2">
        <f t="shared" si="1"/>
        <v>9</v>
      </c>
      <c r="F110" s="2">
        <f t="shared" si="1"/>
        <v>5</v>
      </c>
    </row>
    <row r="111" spans="1:6" x14ac:dyDescent="0.3">
      <c r="A111" s="1">
        <v>44776</v>
      </c>
      <c r="B111" s="2">
        <f>IFERROR(VLOOKUP(A111,Other!$C$1:$D$111,2,FALSE),0)</f>
        <v>18</v>
      </c>
      <c r="C111">
        <f>IFERROR(VLOOKUP(A111,Madrid!$C$1:$D$114,2,FALSE),B111)</f>
        <v>26</v>
      </c>
      <c r="D111">
        <f>IFERROR(VLOOKUP(A111,BCN!$C$1:$D$111,2,FALSE),C111)</f>
        <v>32</v>
      </c>
      <c r="E111" s="2">
        <f t="shared" si="1"/>
        <v>8</v>
      </c>
      <c r="F111" s="2">
        <f t="shared" si="1"/>
        <v>6</v>
      </c>
    </row>
    <row r="112" spans="1:6" x14ac:dyDescent="0.3">
      <c r="A112" s="1">
        <v>44777</v>
      </c>
      <c r="B112" s="2">
        <f>IFERROR(VLOOKUP(A112,Other!$C$1:$D$111,2,FALSE),0)</f>
        <v>10</v>
      </c>
      <c r="C112">
        <f>IFERROR(VLOOKUP(A112,Madrid!$C$1:$D$114,2,FALSE),B112)</f>
        <v>18</v>
      </c>
      <c r="D112">
        <f>IFERROR(VLOOKUP(A112,BCN!$C$1:$D$111,2,FALSE),C112)</f>
        <v>19</v>
      </c>
      <c r="E112" s="2">
        <f t="shared" si="1"/>
        <v>8</v>
      </c>
      <c r="F112" s="2">
        <f t="shared" si="1"/>
        <v>1</v>
      </c>
    </row>
    <row r="113" spans="1:6" x14ac:dyDescent="0.3">
      <c r="A113" s="1">
        <v>44778</v>
      </c>
      <c r="B113" s="2">
        <f>IFERROR(VLOOKUP(A113,Other!$C$1:$D$111,2,FALSE),0)</f>
        <v>10</v>
      </c>
      <c r="C113">
        <f>IFERROR(VLOOKUP(A113,Madrid!$C$1:$D$114,2,FALSE),B113)</f>
        <v>16</v>
      </c>
      <c r="D113">
        <f>IFERROR(VLOOKUP(A113,BCN!$C$1:$D$111,2,FALSE),C113)</f>
        <v>19</v>
      </c>
      <c r="E113" s="2">
        <f t="shared" si="1"/>
        <v>6</v>
      </c>
      <c r="F113" s="2">
        <f t="shared" si="1"/>
        <v>3</v>
      </c>
    </row>
    <row r="114" spans="1:6" x14ac:dyDescent="0.3">
      <c r="A114" s="1">
        <v>44779</v>
      </c>
      <c r="B114" s="2">
        <f>IFERROR(VLOOKUP(A114,Other!$C$1:$D$111,2,FALSE),0)</f>
        <v>4</v>
      </c>
      <c r="C114">
        <f>IFERROR(VLOOKUP(A114,Madrid!$C$1:$D$114,2,FALSE),B114)</f>
        <v>6</v>
      </c>
      <c r="D114">
        <f>IFERROR(VLOOKUP(A114,BCN!$C$1:$D$111,2,FALSE),C114)</f>
        <v>7</v>
      </c>
      <c r="E114" s="2">
        <f t="shared" si="1"/>
        <v>2</v>
      </c>
      <c r="F114" s="2">
        <f t="shared" si="1"/>
        <v>1</v>
      </c>
    </row>
    <row r="115" spans="1:6" x14ac:dyDescent="0.3">
      <c r="A115" s="1">
        <v>44780</v>
      </c>
      <c r="B115" s="2">
        <f>IFERROR(VLOOKUP(A115,Other!$C$1:$D$111,2,FALSE),0)</f>
        <v>4</v>
      </c>
      <c r="C115">
        <f>IFERROR(VLOOKUP(A115,Madrid!$C$1:$D$114,2,FALSE),B115)</f>
        <v>6</v>
      </c>
      <c r="D115">
        <f>IFERROR(VLOOKUP(A115,BCN!$C$1:$D$111,2,FALSE),C115)</f>
        <v>9</v>
      </c>
      <c r="E115" s="2">
        <f t="shared" si="1"/>
        <v>2</v>
      </c>
      <c r="F115" s="2">
        <f t="shared" si="1"/>
        <v>3</v>
      </c>
    </row>
    <row r="116" spans="1:6" x14ac:dyDescent="0.3">
      <c r="A116" s="1">
        <v>44781</v>
      </c>
      <c r="B116" s="2">
        <f>IFERROR(VLOOKUP(A116,Other!$C$1:$D$111,2,FALSE),0)</f>
        <v>4</v>
      </c>
      <c r="C116">
        <f>IFERROR(VLOOKUP(A116,Madrid!$C$1:$D$114,2,FALSE),B116)</f>
        <v>9</v>
      </c>
      <c r="D116">
        <f>IFERROR(VLOOKUP(A116,BCN!$C$1:$D$111,2,FALSE),C116)</f>
        <v>9</v>
      </c>
      <c r="E116" s="2">
        <f t="shared" si="1"/>
        <v>5</v>
      </c>
      <c r="F116" s="2">
        <f t="shared" si="1"/>
        <v>0</v>
      </c>
    </row>
    <row r="117" spans="1:6" x14ac:dyDescent="0.3">
      <c r="A117" s="1">
        <v>44782</v>
      </c>
      <c r="B117" s="2">
        <f>IFERROR(VLOOKUP(A117,Other!$C$1:$D$111,2,FALSE),0)</f>
        <v>2</v>
      </c>
      <c r="C117">
        <f>IFERROR(VLOOKUP(A117,Madrid!$C$1:$D$114,2,FALSE),B117)</f>
        <v>6</v>
      </c>
      <c r="D117">
        <f>IFERROR(VLOOKUP(A117,BCN!$C$1:$D$111,2,FALSE),C117)</f>
        <v>7</v>
      </c>
      <c r="E117" s="2">
        <f t="shared" si="1"/>
        <v>4</v>
      </c>
      <c r="F117" s="2">
        <f t="shared" si="1"/>
        <v>1</v>
      </c>
    </row>
    <row r="118" spans="1:6" x14ac:dyDescent="0.3">
      <c r="A118" s="1">
        <v>44783</v>
      </c>
      <c r="B118" s="2">
        <f>IFERROR(VLOOKUP(A118,Other!$C$1:$D$111,2,FALSE),0)</f>
        <v>1</v>
      </c>
      <c r="C118">
        <f>IFERROR(VLOOKUP(A118,Madrid!$C$1:$D$114,2,FALSE),B118)</f>
        <v>2</v>
      </c>
      <c r="D118">
        <f>IFERROR(VLOOKUP(A118,BCN!$C$1:$D$111,2,FALSE),C118)</f>
        <v>2</v>
      </c>
      <c r="E118" s="2">
        <f t="shared" si="1"/>
        <v>1</v>
      </c>
      <c r="F118" s="2">
        <f t="shared" si="1"/>
        <v>0</v>
      </c>
    </row>
    <row r="119" spans="1:6" x14ac:dyDescent="0.3">
      <c r="A119" s="1"/>
      <c r="B119" s="2"/>
      <c r="E119" s="2"/>
      <c r="F119" s="2"/>
    </row>
    <row r="120" spans="1:6" x14ac:dyDescent="0.3">
      <c r="A120" s="1"/>
      <c r="B120" s="2"/>
      <c r="E120" s="2"/>
      <c r="F120" s="2"/>
    </row>
    <row r="121" spans="1:6" x14ac:dyDescent="0.3">
      <c r="A121" s="1"/>
      <c r="B121" s="2"/>
      <c r="E121" s="2"/>
      <c r="F121" s="2"/>
    </row>
    <row r="122" spans="1:6" x14ac:dyDescent="0.3">
      <c r="A122" s="1"/>
      <c r="B122" s="2"/>
      <c r="E122" s="2"/>
      <c r="F122" s="2"/>
    </row>
    <row r="123" spans="1:6" x14ac:dyDescent="0.3">
      <c r="A123" s="1"/>
      <c r="B123" s="2"/>
      <c r="E123" s="2"/>
      <c r="F123" s="2"/>
    </row>
    <row r="124" spans="1:6" x14ac:dyDescent="0.3">
      <c r="A124" s="1"/>
      <c r="B124" s="2"/>
      <c r="E124" s="2"/>
      <c r="F124" s="2"/>
    </row>
    <row r="125" spans="1:6" x14ac:dyDescent="0.3">
      <c r="A125" s="1"/>
      <c r="B125" s="2"/>
      <c r="E125" s="2"/>
      <c r="F125" s="2"/>
    </row>
    <row r="126" spans="1:6" x14ac:dyDescent="0.3">
      <c r="A126" s="1"/>
      <c r="B126" s="2"/>
      <c r="E126" s="2"/>
      <c r="F126" s="2"/>
    </row>
    <row r="127" spans="1:6" x14ac:dyDescent="0.3">
      <c r="A127" s="1"/>
      <c r="B127" s="2"/>
      <c r="E127" s="2"/>
      <c r="F127" s="2"/>
    </row>
    <row r="128" spans="1:6" x14ac:dyDescent="0.3">
      <c r="A128" s="1"/>
      <c r="B128" s="2"/>
      <c r="E128" s="2"/>
      <c r="F128" s="2"/>
    </row>
    <row r="129" spans="1:6" x14ac:dyDescent="0.3">
      <c r="A129" s="1"/>
      <c r="B129" s="2"/>
      <c r="E129" s="2"/>
      <c r="F129" s="2"/>
    </row>
    <row r="130" spans="1:6" x14ac:dyDescent="0.3">
      <c r="A130" s="1"/>
      <c r="B130" s="2"/>
      <c r="E130" s="2"/>
      <c r="F130" s="2"/>
    </row>
    <row r="131" spans="1:6" x14ac:dyDescent="0.3">
      <c r="A131" s="1"/>
      <c r="B131" s="2"/>
      <c r="E131" s="2"/>
      <c r="F131" s="2"/>
    </row>
    <row r="132" spans="1:6" x14ac:dyDescent="0.3">
      <c r="A132" s="1"/>
      <c r="B132" s="2"/>
      <c r="E132" s="2"/>
      <c r="F132" s="2"/>
    </row>
    <row r="133" spans="1:6" x14ac:dyDescent="0.3">
      <c r="A133" s="1"/>
      <c r="B133" s="2"/>
      <c r="E133" s="2"/>
      <c r="F133" s="2"/>
    </row>
    <row r="134" spans="1:6" x14ac:dyDescent="0.3">
      <c r="A134" s="1"/>
      <c r="B134" s="2"/>
      <c r="E134" s="2"/>
      <c r="F134" s="2"/>
    </row>
    <row r="135" spans="1:6" x14ac:dyDescent="0.3">
      <c r="A135" s="1"/>
      <c r="B135" s="2"/>
      <c r="E135" s="2"/>
      <c r="F135" s="2"/>
    </row>
    <row r="136" spans="1:6" x14ac:dyDescent="0.3">
      <c r="A136" s="1"/>
      <c r="B136" s="2"/>
      <c r="E136" s="2"/>
      <c r="F136" s="2"/>
    </row>
    <row r="137" spans="1:6" x14ac:dyDescent="0.3">
      <c r="A137" s="1"/>
      <c r="B137" s="2"/>
      <c r="E137" s="2"/>
      <c r="F137" s="2"/>
    </row>
    <row r="138" spans="1:6" x14ac:dyDescent="0.3">
      <c r="A138" s="1"/>
      <c r="B138" s="2"/>
      <c r="E138" s="2"/>
      <c r="F138" s="2"/>
    </row>
    <row r="139" spans="1:6" x14ac:dyDescent="0.3">
      <c r="A139" s="1"/>
      <c r="B139" s="2"/>
      <c r="E139" s="2"/>
      <c r="F139" s="2"/>
    </row>
    <row r="140" spans="1:6" x14ac:dyDescent="0.3">
      <c r="A140" s="1"/>
      <c r="B140" s="2"/>
      <c r="E140" s="2"/>
      <c r="F140" s="2"/>
    </row>
    <row r="141" spans="1:6" x14ac:dyDescent="0.3">
      <c r="A141" s="1"/>
      <c r="B141" s="2"/>
      <c r="E141" s="2"/>
      <c r="F141" s="2"/>
    </row>
    <row r="142" spans="1:6" x14ac:dyDescent="0.3">
      <c r="A142" s="1"/>
      <c r="B142" s="2"/>
      <c r="E142" s="2"/>
      <c r="F142" s="2"/>
    </row>
    <row r="143" spans="1:6" x14ac:dyDescent="0.3">
      <c r="A143" s="1"/>
      <c r="B143" s="2"/>
      <c r="E143" s="2"/>
      <c r="F143" s="2"/>
    </row>
    <row r="144" spans="1:6" x14ac:dyDescent="0.3">
      <c r="A144" s="1"/>
      <c r="B144" s="2"/>
      <c r="E144" s="2"/>
      <c r="F144" s="2"/>
    </row>
    <row r="145" spans="1:6" x14ac:dyDescent="0.3">
      <c r="A145" s="1"/>
      <c r="B145" s="2"/>
      <c r="E145" s="2"/>
      <c r="F145" s="2"/>
    </row>
    <row r="146" spans="1:6" x14ac:dyDescent="0.3">
      <c r="A146" s="1"/>
      <c r="B146" s="2"/>
      <c r="E146" s="2"/>
      <c r="F146" s="2"/>
    </row>
    <row r="147" spans="1:6" x14ac:dyDescent="0.3">
      <c r="A147" s="1"/>
      <c r="B147" s="2"/>
      <c r="E147" s="2"/>
      <c r="F147" s="2"/>
    </row>
    <row r="148" spans="1:6" x14ac:dyDescent="0.3">
      <c r="A148" s="1"/>
      <c r="B148" s="2"/>
      <c r="E148" s="2"/>
      <c r="F148" s="2"/>
    </row>
    <row r="149" spans="1:6" x14ac:dyDescent="0.3">
      <c r="A149" s="1"/>
      <c r="B149" s="2"/>
      <c r="E149" s="2"/>
      <c r="F149" s="2"/>
    </row>
    <row r="150" spans="1:6" x14ac:dyDescent="0.3">
      <c r="A150" s="1"/>
      <c r="B150" s="2"/>
      <c r="E150" s="2"/>
      <c r="F150" s="2"/>
    </row>
    <row r="151" spans="1:6" x14ac:dyDescent="0.3">
      <c r="A151" s="1"/>
      <c r="B151" s="2"/>
      <c r="E151" s="2"/>
      <c r="F151" s="2"/>
    </row>
    <row r="152" spans="1:6" x14ac:dyDescent="0.3">
      <c r="A152" s="1"/>
      <c r="B152" s="2"/>
      <c r="E152" s="2"/>
      <c r="F152" s="2"/>
    </row>
    <row r="153" spans="1:6" x14ac:dyDescent="0.3">
      <c r="A153" s="1"/>
      <c r="B153" s="2"/>
      <c r="E153" s="2"/>
      <c r="F153" s="2"/>
    </row>
    <row r="154" spans="1:6" x14ac:dyDescent="0.3">
      <c r="A154" s="1"/>
      <c r="B154" s="2"/>
      <c r="E154" s="2"/>
      <c r="F154" s="2"/>
    </row>
    <row r="155" spans="1:6" x14ac:dyDescent="0.3">
      <c r="A155" s="1"/>
      <c r="B155" s="2"/>
      <c r="E155" s="2"/>
      <c r="F155" s="2"/>
    </row>
    <row r="156" spans="1:6" x14ac:dyDescent="0.3">
      <c r="A156" s="1"/>
      <c r="B156" s="2"/>
      <c r="E156" s="2"/>
      <c r="F156" s="2"/>
    </row>
    <row r="157" spans="1:6" x14ac:dyDescent="0.3">
      <c r="A157" s="1"/>
      <c r="B157" s="2"/>
      <c r="E157" s="2"/>
      <c r="F157" s="2"/>
    </row>
    <row r="158" spans="1:6" x14ac:dyDescent="0.3">
      <c r="A158" s="1"/>
      <c r="B158" s="2"/>
      <c r="E158" s="2"/>
      <c r="F158" s="2"/>
    </row>
    <row r="159" spans="1:6" x14ac:dyDescent="0.3">
      <c r="A159" s="1"/>
      <c r="B159" s="2"/>
      <c r="E159" s="2"/>
      <c r="F159" s="2"/>
    </row>
    <row r="160" spans="1:6" x14ac:dyDescent="0.3">
      <c r="A160" s="1"/>
      <c r="B160" s="2"/>
      <c r="E160" s="2"/>
      <c r="F160" s="2"/>
    </row>
    <row r="161" spans="1:6" x14ac:dyDescent="0.3">
      <c r="A161" s="1"/>
      <c r="B161" s="2"/>
      <c r="E161" s="2"/>
      <c r="F161" s="2"/>
    </row>
    <row r="162" spans="1:6" x14ac:dyDescent="0.3">
      <c r="A162" s="1"/>
      <c r="B162" s="2"/>
      <c r="E162" s="2"/>
      <c r="F162" s="2"/>
    </row>
    <row r="163" spans="1:6" x14ac:dyDescent="0.3">
      <c r="A163" s="1"/>
      <c r="B163" s="2"/>
      <c r="E163" s="2"/>
      <c r="F163" s="2"/>
    </row>
    <row r="164" spans="1:6" x14ac:dyDescent="0.3">
      <c r="A164" s="1"/>
      <c r="B164" s="2"/>
      <c r="E164" s="2"/>
      <c r="F164" s="2"/>
    </row>
    <row r="165" spans="1:6" x14ac:dyDescent="0.3">
      <c r="A165" s="1"/>
      <c r="B165" s="2"/>
      <c r="E165" s="2"/>
      <c r="F165" s="2"/>
    </row>
    <row r="166" spans="1:6" x14ac:dyDescent="0.3">
      <c r="A166" s="1"/>
      <c r="B166" s="2"/>
      <c r="E166" s="2"/>
      <c r="F166" s="2"/>
    </row>
    <row r="167" spans="1:6" x14ac:dyDescent="0.3">
      <c r="A167" s="1"/>
      <c r="B167" s="2"/>
      <c r="E167" s="2"/>
      <c r="F167" s="2"/>
    </row>
    <row r="168" spans="1:6" x14ac:dyDescent="0.3">
      <c r="A168" s="1"/>
      <c r="B168" s="2"/>
      <c r="E168" s="2"/>
      <c r="F168" s="2"/>
    </row>
    <row r="169" spans="1:6" x14ac:dyDescent="0.3">
      <c r="A169" s="1"/>
      <c r="B169" s="2"/>
      <c r="E169" s="2"/>
      <c r="F169" s="2"/>
    </row>
    <row r="170" spans="1:6" x14ac:dyDescent="0.3">
      <c r="A170" s="1"/>
      <c r="B170" s="2"/>
      <c r="E170" s="2"/>
      <c r="F170" s="2"/>
    </row>
    <row r="171" spans="1:6" x14ac:dyDescent="0.3">
      <c r="A171" s="1"/>
      <c r="B171" s="2"/>
      <c r="E171" s="2"/>
      <c r="F171" s="2"/>
    </row>
    <row r="172" spans="1:6" x14ac:dyDescent="0.3">
      <c r="A172" s="1"/>
      <c r="B172" s="2"/>
      <c r="E172" s="2"/>
      <c r="F172" s="2"/>
    </row>
    <row r="173" spans="1:6" x14ac:dyDescent="0.3">
      <c r="A173" s="1"/>
      <c r="B173" s="2"/>
      <c r="E173" s="2"/>
      <c r="F173" s="2"/>
    </row>
    <row r="174" spans="1:6" x14ac:dyDescent="0.3">
      <c r="A174" s="1"/>
      <c r="B174" s="2"/>
      <c r="E174" s="2"/>
      <c r="F174" s="2"/>
    </row>
    <row r="175" spans="1:6" x14ac:dyDescent="0.3">
      <c r="A175" s="1"/>
      <c r="B175" s="2"/>
      <c r="E175" s="2"/>
      <c r="F175" s="2"/>
    </row>
    <row r="176" spans="1:6" x14ac:dyDescent="0.3">
      <c r="A176" s="1"/>
      <c r="B176" s="2"/>
      <c r="E176" s="2"/>
      <c r="F176" s="2"/>
    </row>
    <row r="177" spans="1:6" x14ac:dyDescent="0.3">
      <c r="A177" s="1"/>
      <c r="B177" s="2"/>
      <c r="E177" s="2"/>
      <c r="F177" s="2"/>
    </row>
    <row r="178" spans="1:6" x14ac:dyDescent="0.3">
      <c r="A178" s="1"/>
      <c r="B178" s="2"/>
      <c r="E178" s="2"/>
      <c r="F178" s="2"/>
    </row>
    <row r="179" spans="1:6" x14ac:dyDescent="0.3">
      <c r="A179" s="1"/>
      <c r="B179" s="2"/>
      <c r="E179" s="2"/>
      <c r="F179" s="2"/>
    </row>
    <row r="180" spans="1:6" x14ac:dyDescent="0.3">
      <c r="A180" s="1"/>
      <c r="B180" s="2"/>
      <c r="E180" s="2"/>
      <c r="F180" s="2"/>
    </row>
    <row r="181" spans="1:6" x14ac:dyDescent="0.3">
      <c r="A181" s="1"/>
      <c r="B181" s="2"/>
      <c r="E181" s="2"/>
      <c r="F181" s="2"/>
    </row>
    <row r="182" spans="1:6" x14ac:dyDescent="0.3">
      <c r="A182" s="1"/>
      <c r="B182" s="2"/>
      <c r="E182" s="2"/>
      <c r="F182" s="2"/>
    </row>
    <row r="183" spans="1:6" x14ac:dyDescent="0.3">
      <c r="A183" s="1"/>
      <c r="B183" s="2"/>
      <c r="E183" s="2"/>
      <c r="F183" s="2"/>
    </row>
    <row r="184" spans="1:6" x14ac:dyDescent="0.3">
      <c r="A184" s="1"/>
      <c r="B184" s="2"/>
      <c r="E184" s="2"/>
      <c r="F184" s="2"/>
    </row>
    <row r="185" spans="1:6" x14ac:dyDescent="0.3">
      <c r="A185" s="1"/>
      <c r="B185" s="2"/>
      <c r="E185" s="2"/>
      <c r="F185" s="2"/>
    </row>
    <row r="186" spans="1:6" x14ac:dyDescent="0.3">
      <c r="A186" s="1"/>
      <c r="B186" s="2"/>
      <c r="E186" s="2"/>
      <c r="F186" s="2"/>
    </row>
    <row r="187" spans="1:6" x14ac:dyDescent="0.3">
      <c r="A187" s="1"/>
      <c r="B187" s="2"/>
      <c r="E187" s="2"/>
      <c r="F187" s="2"/>
    </row>
    <row r="188" spans="1:6" x14ac:dyDescent="0.3">
      <c r="A188" s="1"/>
      <c r="B188" s="2"/>
      <c r="E188" s="2"/>
      <c r="F188" s="2"/>
    </row>
    <row r="189" spans="1:6" x14ac:dyDescent="0.3">
      <c r="A189" s="1"/>
      <c r="B189" s="2"/>
      <c r="E189" s="2"/>
      <c r="F189" s="2"/>
    </row>
    <row r="190" spans="1:6" x14ac:dyDescent="0.3">
      <c r="A190" s="1"/>
      <c r="B190" s="2"/>
      <c r="E190" s="2"/>
      <c r="F190" s="2"/>
    </row>
    <row r="191" spans="1:6" x14ac:dyDescent="0.3">
      <c r="A191" s="1"/>
      <c r="B191" s="2"/>
      <c r="E191" s="2"/>
      <c r="F191" s="2"/>
    </row>
    <row r="192" spans="1:6" x14ac:dyDescent="0.3">
      <c r="A192" s="1"/>
      <c r="B192" s="2"/>
      <c r="E192" s="2"/>
      <c r="F192" s="2"/>
    </row>
    <row r="193" spans="1:6" x14ac:dyDescent="0.3">
      <c r="A193" s="1"/>
      <c r="B193" s="2"/>
      <c r="E193" s="2"/>
      <c r="F193" s="2"/>
    </row>
    <row r="194" spans="1:6" x14ac:dyDescent="0.3">
      <c r="A194" s="1"/>
      <c r="B194" s="2"/>
      <c r="E194" s="2"/>
      <c r="F194" s="2"/>
    </row>
    <row r="195" spans="1:6" x14ac:dyDescent="0.3">
      <c r="A195" s="1"/>
      <c r="B195" s="2"/>
      <c r="E195" s="2"/>
      <c r="F195" s="2"/>
    </row>
    <row r="196" spans="1:6" x14ac:dyDescent="0.3">
      <c r="A196" s="1"/>
      <c r="B196" s="2"/>
      <c r="E196" s="2"/>
      <c r="F196" s="2"/>
    </row>
    <row r="197" spans="1:6" x14ac:dyDescent="0.3">
      <c r="A197" s="1"/>
      <c r="B197" s="2"/>
      <c r="E197" s="2"/>
      <c r="F197" s="2"/>
    </row>
    <row r="198" spans="1:6" x14ac:dyDescent="0.3">
      <c r="A198" s="1"/>
      <c r="B198" s="2"/>
      <c r="E198" s="2"/>
      <c r="F198" s="2"/>
    </row>
    <row r="199" spans="1:6" x14ac:dyDescent="0.3">
      <c r="A199" s="1"/>
      <c r="B199" s="2"/>
      <c r="E199" s="2"/>
      <c r="F199" s="2"/>
    </row>
    <row r="200" spans="1:6" x14ac:dyDescent="0.3">
      <c r="A200" s="1"/>
      <c r="B200" s="2"/>
      <c r="E200" s="2"/>
      <c r="F200" s="2"/>
    </row>
    <row r="201" spans="1:6" x14ac:dyDescent="0.3">
      <c r="A201" s="1"/>
      <c r="B201" s="2"/>
      <c r="E201" s="2"/>
      <c r="F201" s="2"/>
    </row>
    <row r="202" spans="1:6" x14ac:dyDescent="0.3">
      <c r="A202" s="1"/>
      <c r="B202" s="2"/>
      <c r="E202" s="2"/>
      <c r="F202" s="2"/>
    </row>
    <row r="203" spans="1:6" x14ac:dyDescent="0.3">
      <c r="A203" s="1"/>
      <c r="B203" s="2"/>
      <c r="E203" s="2"/>
      <c r="F203" s="2"/>
    </row>
    <row r="204" spans="1:6" x14ac:dyDescent="0.3">
      <c r="A204" s="1"/>
      <c r="B204" s="2"/>
      <c r="E204" s="2"/>
      <c r="F204" s="2"/>
    </row>
    <row r="205" spans="1:6" x14ac:dyDescent="0.3">
      <c r="A205" s="1"/>
      <c r="B205" s="2"/>
      <c r="E205" s="2"/>
      <c r="F205" s="2"/>
    </row>
    <row r="206" spans="1:6" x14ac:dyDescent="0.3">
      <c r="A206" s="1"/>
      <c r="B206" s="2"/>
      <c r="E206" s="2"/>
      <c r="F206" s="2"/>
    </row>
    <row r="207" spans="1:6" x14ac:dyDescent="0.3">
      <c r="A207" s="1"/>
      <c r="B207" s="2"/>
      <c r="E207" s="2"/>
      <c r="F207" s="2"/>
    </row>
    <row r="208" spans="1:6" x14ac:dyDescent="0.3">
      <c r="A208" s="1"/>
      <c r="B208" s="2"/>
      <c r="E208" s="2"/>
      <c r="F208" s="2"/>
    </row>
    <row r="209" spans="1:6" x14ac:dyDescent="0.3">
      <c r="A209" s="1"/>
      <c r="B209" s="2"/>
      <c r="E209" s="2"/>
      <c r="F209" s="2"/>
    </row>
    <row r="210" spans="1:6" x14ac:dyDescent="0.3">
      <c r="A210" s="1"/>
      <c r="B210" s="2"/>
      <c r="E210" s="2"/>
      <c r="F210" s="2"/>
    </row>
    <row r="211" spans="1:6" x14ac:dyDescent="0.3">
      <c r="A211" s="1"/>
      <c r="B211" s="2"/>
      <c r="E211" s="2"/>
      <c r="F211" s="2"/>
    </row>
    <row r="212" spans="1:6" x14ac:dyDescent="0.3">
      <c r="A212" s="1"/>
      <c r="B212" s="2"/>
      <c r="E212" s="2"/>
      <c r="F212" s="2"/>
    </row>
    <row r="213" spans="1:6" x14ac:dyDescent="0.3">
      <c r="A213" s="1"/>
      <c r="B213" s="2"/>
      <c r="E213" s="2"/>
      <c r="F213" s="2"/>
    </row>
    <row r="214" spans="1:6" x14ac:dyDescent="0.3">
      <c r="A214" s="1"/>
      <c r="B214" s="2"/>
      <c r="E214" s="2"/>
      <c r="F214" s="2"/>
    </row>
    <row r="215" spans="1:6" x14ac:dyDescent="0.3">
      <c r="A215" s="1"/>
      <c r="B215" s="2"/>
      <c r="E215" s="2"/>
      <c r="F215" s="2"/>
    </row>
    <row r="216" spans="1:6" x14ac:dyDescent="0.3">
      <c r="A216" s="1"/>
      <c r="B216" s="2"/>
      <c r="E216" s="2"/>
      <c r="F216" s="2"/>
    </row>
    <row r="217" spans="1:6" x14ac:dyDescent="0.3">
      <c r="A217" s="1"/>
      <c r="B217" s="2"/>
      <c r="E217" s="2"/>
      <c r="F217" s="2"/>
    </row>
    <row r="218" spans="1:6" x14ac:dyDescent="0.3">
      <c r="A218" s="1"/>
      <c r="B218" s="2"/>
      <c r="E218" s="2"/>
      <c r="F218" s="2"/>
    </row>
    <row r="219" spans="1:6" x14ac:dyDescent="0.3">
      <c r="A219" s="1"/>
      <c r="B219" s="2"/>
      <c r="E219" s="2"/>
      <c r="F219" s="2"/>
    </row>
    <row r="220" spans="1:6" x14ac:dyDescent="0.3">
      <c r="A220" s="1"/>
      <c r="B220" s="2"/>
      <c r="E220" s="2"/>
      <c r="F220" s="2"/>
    </row>
    <row r="221" spans="1:6" x14ac:dyDescent="0.3">
      <c r="A221" s="1"/>
      <c r="B221" s="2"/>
      <c r="E221" s="2"/>
      <c r="F221" s="2"/>
    </row>
    <row r="222" spans="1:6" x14ac:dyDescent="0.3">
      <c r="A222" s="1"/>
      <c r="B222" s="2"/>
      <c r="E222" s="2"/>
      <c r="F222" s="2"/>
    </row>
    <row r="223" spans="1:6" x14ac:dyDescent="0.3">
      <c r="A223" s="1"/>
      <c r="B223" s="2"/>
      <c r="E223" s="2"/>
      <c r="F223" s="2"/>
    </row>
    <row r="224" spans="1:6" x14ac:dyDescent="0.3">
      <c r="A224" s="1"/>
      <c r="B224" s="2"/>
      <c r="E224" s="2"/>
      <c r="F224" s="2"/>
    </row>
    <row r="225" spans="1:6" x14ac:dyDescent="0.3">
      <c r="A225" s="1"/>
      <c r="B225" s="2"/>
      <c r="E225" s="2"/>
      <c r="F225" s="2"/>
    </row>
    <row r="226" spans="1:6" x14ac:dyDescent="0.3">
      <c r="A226" s="1"/>
      <c r="B226" s="2"/>
      <c r="E226" s="2"/>
      <c r="F226" s="2"/>
    </row>
    <row r="227" spans="1:6" x14ac:dyDescent="0.3">
      <c r="A227" s="1"/>
      <c r="B227" s="2"/>
      <c r="E227" s="2"/>
      <c r="F227" s="2"/>
    </row>
    <row r="228" spans="1:6" x14ac:dyDescent="0.3">
      <c r="A228" s="1"/>
      <c r="B228" s="2"/>
      <c r="E228" s="2"/>
      <c r="F228" s="2"/>
    </row>
    <row r="229" spans="1:6" x14ac:dyDescent="0.3">
      <c r="A229" s="1"/>
      <c r="B229" s="2"/>
      <c r="E229" s="2"/>
      <c r="F229" s="2"/>
    </row>
    <row r="230" spans="1:6" x14ac:dyDescent="0.3">
      <c r="A230" s="1"/>
      <c r="B230" s="2"/>
      <c r="E230" s="2"/>
      <c r="F230" s="2"/>
    </row>
    <row r="231" spans="1:6" x14ac:dyDescent="0.3">
      <c r="A231" s="1"/>
      <c r="B231" s="2"/>
      <c r="E231" s="2"/>
      <c r="F231" s="2"/>
    </row>
    <row r="232" spans="1:6" x14ac:dyDescent="0.3">
      <c r="A232" s="1"/>
      <c r="B232" s="2"/>
      <c r="E232" s="2"/>
      <c r="F232" s="2"/>
    </row>
    <row r="233" spans="1:6" x14ac:dyDescent="0.3">
      <c r="A233" s="1"/>
      <c r="B233" s="2"/>
      <c r="E233" s="2"/>
      <c r="F233" s="2"/>
    </row>
    <row r="234" spans="1:6" x14ac:dyDescent="0.3">
      <c r="A234" s="1"/>
      <c r="B234" s="2"/>
      <c r="E234" s="2"/>
      <c r="F234" s="2"/>
    </row>
    <row r="235" spans="1:6" x14ac:dyDescent="0.3">
      <c r="A235" s="1"/>
      <c r="B235" s="2"/>
      <c r="E235" s="2"/>
      <c r="F235" s="2"/>
    </row>
    <row r="236" spans="1:6" x14ac:dyDescent="0.3">
      <c r="A236" s="1"/>
      <c r="B236" s="2"/>
      <c r="E236" s="2"/>
      <c r="F236" s="2"/>
    </row>
    <row r="237" spans="1:6" x14ac:dyDescent="0.3">
      <c r="A237" s="1"/>
      <c r="B237" s="2"/>
      <c r="E237" s="2"/>
      <c r="F237" s="2"/>
    </row>
    <row r="238" spans="1:6" x14ac:dyDescent="0.3">
      <c r="A238" s="1"/>
      <c r="B238" s="2"/>
      <c r="E238" s="2"/>
      <c r="F238" s="2"/>
    </row>
    <row r="239" spans="1:6" x14ac:dyDescent="0.3">
      <c r="A239" s="1"/>
      <c r="B239" s="2"/>
      <c r="E239" s="2"/>
      <c r="F239" s="2"/>
    </row>
    <row r="240" spans="1:6" x14ac:dyDescent="0.3">
      <c r="A240" s="1"/>
      <c r="B240" s="2"/>
      <c r="E240" s="2"/>
      <c r="F240" s="2"/>
    </row>
    <row r="241" spans="1:6" x14ac:dyDescent="0.3">
      <c r="A241" s="1"/>
      <c r="B241" s="2"/>
      <c r="E241" s="2"/>
      <c r="F241" s="2"/>
    </row>
    <row r="242" spans="1:6" x14ac:dyDescent="0.3">
      <c r="A242" s="1"/>
      <c r="B242" s="2"/>
      <c r="E242" s="2"/>
      <c r="F242" s="2"/>
    </row>
    <row r="243" spans="1:6" x14ac:dyDescent="0.3">
      <c r="A243" s="1"/>
      <c r="B243" s="2"/>
      <c r="E243" s="2"/>
      <c r="F243" s="2"/>
    </row>
    <row r="244" spans="1:6" x14ac:dyDescent="0.3">
      <c r="A244" s="1"/>
      <c r="B244" s="2"/>
      <c r="E244" s="2"/>
      <c r="F244" s="2"/>
    </row>
    <row r="245" spans="1:6" x14ac:dyDescent="0.3">
      <c r="A245" s="1"/>
      <c r="B245" s="2"/>
      <c r="E245" s="2"/>
      <c r="F245" s="2"/>
    </row>
    <row r="246" spans="1:6" x14ac:dyDescent="0.3">
      <c r="A246" s="1"/>
      <c r="B246" s="2"/>
      <c r="E246" s="2"/>
      <c r="F246" s="2"/>
    </row>
    <row r="247" spans="1:6" x14ac:dyDescent="0.3">
      <c r="A247" s="1"/>
      <c r="B247" s="2"/>
      <c r="E247" s="2"/>
      <c r="F247" s="2"/>
    </row>
    <row r="248" spans="1:6" x14ac:dyDescent="0.3">
      <c r="A248" s="1"/>
      <c r="B248" s="2"/>
      <c r="E248" s="2"/>
      <c r="F248" s="2"/>
    </row>
    <row r="249" spans="1:6" x14ac:dyDescent="0.3">
      <c r="A249" s="1"/>
      <c r="B249" s="2"/>
      <c r="E249" s="2"/>
      <c r="F249" s="2"/>
    </row>
    <row r="250" spans="1:6" x14ac:dyDescent="0.3">
      <c r="A250" s="1"/>
      <c r="B250" s="2"/>
      <c r="E250" s="2"/>
      <c r="F250" s="2"/>
    </row>
    <row r="251" spans="1:6" x14ac:dyDescent="0.3">
      <c r="A251" s="1"/>
      <c r="B251" s="2"/>
      <c r="E251" s="2"/>
      <c r="F251" s="2"/>
    </row>
    <row r="252" spans="1:6" x14ac:dyDescent="0.3">
      <c r="A252" s="1"/>
      <c r="B252" s="2"/>
      <c r="E252" s="2"/>
      <c r="F252" s="2"/>
    </row>
    <row r="253" spans="1:6" x14ac:dyDescent="0.3">
      <c r="A253" s="1"/>
      <c r="B253" s="2"/>
      <c r="E253" s="2"/>
      <c r="F253" s="2"/>
    </row>
    <row r="254" spans="1:6" x14ac:dyDescent="0.3">
      <c r="A254" s="1"/>
      <c r="B254" s="2"/>
      <c r="E254" s="2"/>
      <c r="F254" s="2"/>
    </row>
    <row r="255" spans="1:6" x14ac:dyDescent="0.3">
      <c r="A255" s="1"/>
      <c r="B255" s="2"/>
      <c r="E255" s="2"/>
      <c r="F255" s="2"/>
    </row>
    <row r="256" spans="1:6" x14ac:dyDescent="0.3">
      <c r="A256" s="1"/>
      <c r="B256" s="2"/>
      <c r="E256" s="2"/>
      <c r="F256" s="2"/>
    </row>
    <row r="257" spans="1:6" x14ac:dyDescent="0.3">
      <c r="A257" s="1"/>
      <c r="B257" s="2"/>
      <c r="E257" s="2"/>
      <c r="F257" s="2"/>
    </row>
    <row r="258" spans="1:6" x14ac:dyDescent="0.3">
      <c r="A258" s="1"/>
      <c r="B258" s="2"/>
      <c r="E258" s="2"/>
      <c r="F258" s="2"/>
    </row>
    <row r="259" spans="1:6" x14ac:dyDescent="0.3">
      <c r="A259" s="1"/>
      <c r="B259" s="2"/>
      <c r="E259" s="2"/>
      <c r="F259" s="2"/>
    </row>
    <row r="260" spans="1:6" x14ac:dyDescent="0.3">
      <c r="A260" s="1"/>
      <c r="B260" s="2"/>
      <c r="E260" s="2"/>
      <c r="F260" s="2"/>
    </row>
    <row r="261" spans="1:6" x14ac:dyDescent="0.3">
      <c r="A261" s="1"/>
      <c r="B261" s="2"/>
      <c r="E261" s="2"/>
      <c r="F261" s="2"/>
    </row>
    <row r="262" spans="1:6" x14ac:dyDescent="0.3">
      <c r="A262" s="1"/>
      <c r="B262" s="2"/>
      <c r="E262" s="2"/>
      <c r="F262" s="2"/>
    </row>
    <row r="263" spans="1:6" x14ac:dyDescent="0.3">
      <c r="A263" s="1"/>
      <c r="B263" s="2"/>
      <c r="E263" s="2"/>
      <c r="F263" s="2"/>
    </row>
    <row r="264" spans="1:6" x14ac:dyDescent="0.3">
      <c r="A264" s="1"/>
      <c r="B264" s="2"/>
      <c r="E264" s="2"/>
      <c r="F264" s="2"/>
    </row>
    <row r="265" spans="1:6" x14ac:dyDescent="0.3">
      <c r="A265" s="1"/>
      <c r="B265" s="2"/>
      <c r="E265" s="2"/>
      <c r="F265" s="2"/>
    </row>
    <row r="266" spans="1:6" x14ac:dyDescent="0.3">
      <c r="A266" s="1"/>
      <c r="B266" s="2"/>
      <c r="E266" s="2"/>
      <c r="F266" s="2"/>
    </row>
    <row r="267" spans="1:6" x14ac:dyDescent="0.3">
      <c r="A267" s="1"/>
      <c r="B267" s="2"/>
      <c r="E267" s="2"/>
      <c r="F267" s="2"/>
    </row>
    <row r="268" spans="1:6" x14ac:dyDescent="0.3">
      <c r="A268" s="1"/>
      <c r="B268" s="2"/>
      <c r="E268" s="2"/>
      <c r="F268" s="2"/>
    </row>
    <row r="269" spans="1:6" x14ac:dyDescent="0.3">
      <c r="A269" s="1"/>
      <c r="B269" s="2"/>
      <c r="E269" s="2"/>
      <c r="F269" s="2"/>
    </row>
    <row r="270" spans="1:6" x14ac:dyDescent="0.3">
      <c r="A270" s="1"/>
      <c r="B270" s="2"/>
      <c r="E270" s="2"/>
      <c r="F270" s="2"/>
    </row>
    <row r="271" spans="1:6" x14ac:dyDescent="0.3">
      <c r="A271" s="1"/>
      <c r="B271" s="2"/>
      <c r="E271" s="2"/>
      <c r="F271" s="2"/>
    </row>
    <row r="272" spans="1:6" x14ac:dyDescent="0.3">
      <c r="A272" s="1"/>
      <c r="B272" s="2"/>
      <c r="E272" s="2"/>
      <c r="F272" s="2"/>
    </row>
    <row r="273" spans="1:6" x14ac:dyDescent="0.3">
      <c r="A273" s="1"/>
      <c r="B273" s="2"/>
      <c r="E273" s="2"/>
      <c r="F273" s="2"/>
    </row>
    <row r="274" spans="1:6" x14ac:dyDescent="0.3">
      <c r="A274" s="1"/>
      <c r="B274" s="2"/>
      <c r="E274" s="2"/>
      <c r="F274" s="2"/>
    </row>
    <row r="275" spans="1:6" x14ac:dyDescent="0.3">
      <c r="A275" s="1"/>
      <c r="B275" s="2"/>
      <c r="E275" s="2"/>
      <c r="F275" s="2"/>
    </row>
    <row r="276" spans="1:6" x14ac:dyDescent="0.3">
      <c r="A276" s="1"/>
      <c r="B276" s="2"/>
      <c r="E276" s="2"/>
      <c r="F276" s="2"/>
    </row>
    <row r="277" spans="1:6" x14ac:dyDescent="0.3">
      <c r="A277" s="1"/>
      <c r="B277" s="2"/>
      <c r="E277" s="2"/>
      <c r="F277" s="2"/>
    </row>
    <row r="278" spans="1:6" x14ac:dyDescent="0.3">
      <c r="A278" s="1"/>
      <c r="B278" s="2"/>
      <c r="E278" s="2"/>
      <c r="F278" s="2"/>
    </row>
    <row r="279" spans="1:6" x14ac:dyDescent="0.3">
      <c r="A279" s="1"/>
      <c r="B279" s="2"/>
      <c r="E279" s="2"/>
      <c r="F279" s="2"/>
    </row>
    <row r="280" spans="1:6" x14ac:dyDescent="0.3">
      <c r="A280" s="1"/>
      <c r="B280" s="2"/>
      <c r="E280" s="2"/>
      <c r="F280" s="2"/>
    </row>
    <row r="281" spans="1:6" x14ac:dyDescent="0.3">
      <c r="A281" s="1"/>
      <c r="B281" s="2"/>
      <c r="E281" s="2"/>
      <c r="F281" s="2"/>
    </row>
    <row r="282" spans="1:6" x14ac:dyDescent="0.3">
      <c r="A282" s="1"/>
      <c r="B282" s="2"/>
      <c r="E282" s="2"/>
      <c r="F282" s="2"/>
    </row>
    <row r="283" spans="1:6" x14ac:dyDescent="0.3">
      <c r="A283" s="1"/>
      <c r="B283" s="2"/>
      <c r="E283" s="2"/>
      <c r="F283" s="2"/>
    </row>
    <row r="284" spans="1:6" x14ac:dyDescent="0.3">
      <c r="A284" s="1"/>
      <c r="B284" s="2"/>
      <c r="E284" s="2"/>
      <c r="F284" s="2"/>
    </row>
    <row r="285" spans="1:6" x14ac:dyDescent="0.3">
      <c r="A285" s="1"/>
      <c r="B285" s="2"/>
      <c r="E285" s="2"/>
      <c r="F285" s="2"/>
    </row>
    <row r="286" spans="1:6" x14ac:dyDescent="0.3">
      <c r="A286" s="1"/>
      <c r="B286" s="2"/>
      <c r="E286" s="2"/>
      <c r="F286" s="2"/>
    </row>
    <row r="287" spans="1:6" x14ac:dyDescent="0.3">
      <c r="A287" s="1"/>
      <c r="B287" s="2"/>
      <c r="E287" s="2"/>
      <c r="F287" s="2"/>
    </row>
    <row r="288" spans="1:6" x14ac:dyDescent="0.3">
      <c r="A288" s="1"/>
      <c r="B288" s="2"/>
      <c r="E288" s="2"/>
      <c r="F288" s="2"/>
    </row>
    <row r="289" spans="1:6" x14ac:dyDescent="0.3">
      <c r="A289" s="1"/>
      <c r="B289" s="2"/>
      <c r="E289" s="2"/>
      <c r="F289" s="2"/>
    </row>
    <row r="290" spans="1:6" x14ac:dyDescent="0.3">
      <c r="A290" s="1"/>
      <c r="B290" s="2"/>
      <c r="E290" s="2"/>
      <c r="F290" s="2"/>
    </row>
    <row r="291" spans="1:6" x14ac:dyDescent="0.3">
      <c r="A291" s="1"/>
      <c r="B291" s="2"/>
      <c r="E291" s="2"/>
      <c r="F291" s="2"/>
    </row>
    <row r="292" spans="1:6" x14ac:dyDescent="0.3">
      <c r="A292" s="1"/>
      <c r="B292" s="2"/>
      <c r="E292" s="2"/>
      <c r="F292" s="2"/>
    </row>
    <row r="293" spans="1:6" x14ac:dyDescent="0.3">
      <c r="A293" s="1"/>
      <c r="B293" s="2"/>
      <c r="E293" s="2"/>
      <c r="F293" s="2"/>
    </row>
    <row r="294" spans="1:6" x14ac:dyDescent="0.3">
      <c r="A294" s="1"/>
      <c r="B294" s="2"/>
      <c r="E294" s="2"/>
      <c r="F294" s="2"/>
    </row>
    <row r="295" spans="1:6" x14ac:dyDescent="0.3">
      <c r="A295" s="1"/>
      <c r="B295" s="2"/>
      <c r="E295" s="2"/>
      <c r="F295" s="2"/>
    </row>
    <row r="296" spans="1:6" x14ac:dyDescent="0.3">
      <c r="A296" s="1"/>
      <c r="B296" s="2"/>
      <c r="E296" s="2"/>
      <c r="F296" s="2"/>
    </row>
    <row r="297" spans="1:6" x14ac:dyDescent="0.3">
      <c r="A297" s="1"/>
      <c r="B297" s="2"/>
      <c r="E297" s="2"/>
      <c r="F297" s="2"/>
    </row>
    <row r="298" spans="1:6" x14ac:dyDescent="0.3">
      <c r="A298" s="1"/>
      <c r="B298" s="2"/>
      <c r="E298" s="2"/>
      <c r="F298" s="2"/>
    </row>
    <row r="299" spans="1:6" x14ac:dyDescent="0.3">
      <c r="A299" s="1"/>
      <c r="B299" s="2"/>
      <c r="E299" s="2"/>
      <c r="F299" s="2"/>
    </row>
    <row r="300" spans="1:6" x14ac:dyDescent="0.3">
      <c r="A300" s="1"/>
      <c r="B300" s="2"/>
      <c r="E300" s="2"/>
      <c r="F300" s="2"/>
    </row>
    <row r="301" spans="1:6" x14ac:dyDescent="0.3">
      <c r="A301" s="1"/>
      <c r="B301" s="2"/>
      <c r="E301" s="2"/>
      <c r="F301" s="2"/>
    </row>
    <row r="302" spans="1:6" x14ac:dyDescent="0.3">
      <c r="A302" s="1"/>
      <c r="B302" s="2"/>
      <c r="E302" s="2"/>
      <c r="F302" s="2"/>
    </row>
    <row r="303" spans="1:6" x14ac:dyDescent="0.3">
      <c r="A303" s="1"/>
      <c r="B303" s="2"/>
      <c r="E303" s="2"/>
      <c r="F303" s="2"/>
    </row>
    <row r="304" spans="1:6" x14ac:dyDescent="0.3">
      <c r="A304" s="1"/>
      <c r="B304" s="2"/>
      <c r="E304" s="2"/>
      <c r="F304" s="2"/>
    </row>
    <row r="305" spans="1:6" x14ac:dyDescent="0.3">
      <c r="A305" s="1"/>
      <c r="B305" s="2"/>
      <c r="E305" s="2"/>
      <c r="F305" s="2"/>
    </row>
    <row r="306" spans="1:6" x14ac:dyDescent="0.3">
      <c r="A306" s="1"/>
      <c r="B306" s="2"/>
      <c r="E306" s="2"/>
      <c r="F306" s="2"/>
    </row>
    <row r="307" spans="1:6" x14ac:dyDescent="0.3">
      <c r="A307" s="1"/>
      <c r="B307" s="2"/>
      <c r="E307" s="2"/>
      <c r="F307" s="2"/>
    </row>
    <row r="308" spans="1:6" x14ac:dyDescent="0.3">
      <c r="A308" s="1"/>
      <c r="B308" s="2"/>
      <c r="E308" s="2"/>
      <c r="F308" s="2"/>
    </row>
    <row r="309" spans="1:6" x14ac:dyDescent="0.3">
      <c r="A309" s="1"/>
      <c r="B309" s="2"/>
      <c r="E309" s="2"/>
      <c r="F309" s="2"/>
    </row>
    <row r="310" spans="1:6" x14ac:dyDescent="0.3">
      <c r="A310" s="1"/>
      <c r="B310" s="2"/>
      <c r="E310" s="2"/>
      <c r="F310" s="2"/>
    </row>
    <row r="311" spans="1:6" x14ac:dyDescent="0.3">
      <c r="A311" s="1"/>
      <c r="B311" s="2"/>
      <c r="E311" s="2"/>
      <c r="F311" s="2"/>
    </row>
    <row r="312" spans="1:6" x14ac:dyDescent="0.3">
      <c r="A312" s="1"/>
      <c r="B312" s="2"/>
      <c r="E312" s="2"/>
      <c r="F312" s="2"/>
    </row>
    <row r="313" spans="1:6" x14ac:dyDescent="0.3">
      <c r="A313" s="1"/>
      <c r="B313" s="2"/>
      <c r="E313" s="2"/>
      <c r="F313" s="2"/>
    </row>
    <row r="314" spans="1:6" x14ac:dyDescent="0.3">
      <c r="A314" s="1"/>
      <c r="B314" s="2"/>
      <c r="E314" s="2"/>
      <c r="F314" s="2"/>
    </row>
    <row r="315" spans="1:6" x14ac:dyDescent="0.3">
      <c r="A315" s="1"/>
      <c r="B315" s="2"/>
      <c r="E315" s="2"/>
      <c r="F315" s="2"/>
    </row>
    <row r="316" spans="1:6" x14ac:dyDescent="0.3">
      <c r="A316" s="1"/>
      <c r="B316" s="2"/>
      <c r="E316" s="2"/>
      <c r="F316" s="2"/>
    </row>
    <row r="317" spans="1:6" x14ac:dyDescent="0.3">
      <c r="A317" s="1"/>
      <c r="B317" s="2"/>
      <c r="E317" s="2"/>
      <c r="F317" s="2"/>
    </row>
    <row r="318" spans="1:6" x14ac:dyDescent="0.3">
      <c r="A318" s="1"/>
      <c r="B318" s="2"/>
      <c r="E318" s="2"/>
      <c r="F318" s="2"/>
    </row>
    <row r="319" spans="1:6" x14ac:dyDescent="0.3">
      <c r="A319" s="1"/>
      <c r="B319" s="2"/>
      <c r="E319" s="2"/>
      <c r="F319" s="2"/>
    </row>
    <row r="320" spans="1:6" x14ac:dyDescent="0.3">
      <c r="A320" s="1"/>
      <c r="B320" s="2"/>
      <c r="E320" s="2"/>
      <c r="F320" s="2"/>
    </row>
    <row r="321" spans="1:6" x14ac:dyDescent="0.3">
      <c r="A321" s="1"/>
      <c r="B321" s="2"/>
      <c r="E321" s="2"/>
      <c r="F321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9081-22E2-4A2C-93F8-C8E017776B02}">
  <dimension ref="A1:B1"/>
  <sheetViews>
    <sheetView workbookViewId="0">
      <selection activeCell="B2" sqref="B2"/>
    </sheetView>
  </sheetViews>
  <sheetFormatPr defaultRowHeight="14.4" x14ac:dyDescent="0.3"/>
  <cols>
    <col min="2" max="2" width="10.33203125" bestFit="1" customWidth="1"/>
  </cols>
  <sheetData>
    <row r="1" spans="1:2" x14ac:dyDescent="0.3">
      <c r="A1" t="s">
        <v>2</v>
      </c>
      <c r="B1" s="1">
        <v>44682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E31B-0510-4505-9EA7-6F69FEB428F9}">
  <dimension ref="A1:E102"/>
  <sheetViews>
    <sheetView topLeftCell="A10" workbookViewId="0">
      <selection activeCell="E21" sqref="E21"/>
    </sheetView>
  </sheetViews>
  <sheetFormatPr defaultRowHeight="14.4" x14ac:dyDescent="0.3"/>
  <cols>
    <col min="3" max="3" width="10.33203125" bestFit="1" customWidth="1"/>
    <col min="4" max="4" width="9.33203125" bestFit="1" customWidth="1"/>
  </cols>
  <sheetData>
    <row r="1" spans="1:5" x14ac:dyDescent="0.3">
      <c r="A1" t="s">
        <v>0</v>
      </c>
      <c r="B1" t="s">
        <v>3</v>
      </c>
      <c r="C1" t="s">
        <v>1</v>
      </c>
      <c r="D1" t="s">
        <v>3</v>
      </c>
    </row>
    <row r="2" spans="1:5" x14ac:dyDescent="0.3">
      <c r="A2">
        <v>-14.993963782696101</v>
      </c>
      <c r="B2">
        <v>1.0498687664042099</v>
      </c>
      <c r="C2" s="1">
        <f>Params!$B$1+ROUND(Other!A2,0)</f>
        <v>44667</v>
      </c>
      <c r="D2">
        <f>ROUND(B2,0)</f>
        <v>1</v>
      </c>
    </row>
    <row r="3" spans="1:5" x14ac:dyDescent="0.3">
      <c r="A3">
        <v>-1.0181086519114599</v>
      </c>
      <c r="B3">
        <v>0.91863517060369304</v>
      </c>
      <c r="C3" s="1">
        <f>Params!$B$1+ROUND(Other!A3,0)</f>
        <v>44681</v>
      </c>
      <c r="D3">
        <f t="shared" ref="D3:D66" si="0">ROUND(B3,0)</f>
        <v>1</v>
      </c>
      <c r="E3" t="b">
        <f>C3=C2+1</f>
        <v>0</v>
      </c>
    </row>
    <row r="4" spans="1:5" x14ac:dyDescent="0.3">
      <c r="A4">
        <v>1.0181086519114599</v>
      </c>
      <c r="B4">
        <v>0.91863517060369304</v>
      </c>
      <c r="C4" s="1">
        <f>Params!$B$1+ROUND(Other!A4,0)</f>
        <v>44683</v>
      </c>
      <c r="D4">
        <f t="shared" si="0"/>
        <v>1</v>
      </c>
      <c r="E4" t="b">
        <f t="shared" ref="E4:E67" si="1">C4=C3+1</f>
        <v>0</v>
      </c>
    </row>
    <row r="5" spans="1:5" x14ac:dyDescent="0.3">
      <c r="A5">
        <v>2.9617706237424501</v>
      </c>
      <c r="B5">
        <v>0.91863517060369304</v>
      </c>
      <c r="C5" s="1">
        <f>Params!$B$1+ROUND(Other!A5,0)</f>
        <v>44685</v>
      </c>
      <c r="D5">
        <f t="shared" si="0"/>
        <v>1</v>
      </c>
      <c r="E5" t="b">
        <f t="shared" si="1"/>
        <v>0</v>
      </c>
    </row>
    <row r="6" spans="1:5" x14ac:dyDescent="0.3">
      <c r="A6">
        <v>3.9798792756539201</v>
      </c>
      <c r="B6">
        <v>1.9685039370078801</v>
      </c>
      <c r="C6" s="1">
        <f>Params!$B$1+ROUND(Other!A6,0)</f>
        <v>44686</v>
      </c>
      <c r="D6">
        <f t="shared" si="0"/>
        <v>2</v>
      </c>
      <c r="E6" t="b">
        <f t="shared" si="1"/>
        <v>1</v>
      </c>
    </row>
    <row r="7" spans="1:5" x14ac:dyDescent="0.3">
      <c r="A7">
        <v>4.99798792756539</v>
      </c>
      <c r="B7">
        <v>3.01837270341206</v>
      </c>
      <c r="C7" s="1">
        <f>Params!$B$1+ROUND(Other!A7,0)</f>
        <v>44687</v>
      </c>
      <c r="D7">
        <f t="shared" si="0"/>
        <v>3</v>
      </c>
      <c r="E7" t="b">
        <f t="shared" si="1"/>
        <v>1</v>
      </c>
    </row>
    <row r="8" spans="1:5" x14ac:dyDescent="0.3">
      <c r="A8">
        <v>6.0160965794768604</v>
      </c>
      <c r="B8">
        <v>4.9868766404199496</v>
      </c>
      <c r="C8" s="1">
        <f>Params!$B$1+ROUND(Other!A8,0)</f>
        <v>44688</v>
      </c>
      <c r="D8">
        <f t="shared" si="0"/>
        <v>5</v>
      </c>
      <c r="E8" t="b">
        <f t="shared" si="1"/>
        <v>1</v>
      </c>
    </row>
    <row r="9" spans="1:5" x14ac:dyDescent="0.3">
      <c r="A9">
        <v>7.0342052313883299</v>
      </c>
      <c r="B9">
        <v>1.0498687664042099</v>
      </c>
      <c r="C9" s="1">
        <f>Params!$B$1+ROUND(Other!A9,0)</f>
        <v>44689</v>
      </c>
      <c r="D9">
        <f t="shared" si="0"/>
        <v>1</v>
      </c>
      <c r="E9" t="b">
        <f t="shared" si="1"/>
        <v>1</v>
      </c>
    </row>
    <row r="10" spans="1:5" x14ac:dyDescent="0.3">
      <c r="A10">
        <v>7.9597585513078402</v>
      </c>
      <c r="B10">
        <v>1.0498687664042099</v>
      </c>
      <c r="C10" s="1">
        <f>Params!$B$1+ROUND(Other!A10,0)</f>
        <v>44690</v>
      </c>
      <c r="D10">
        <f t="shared" si="0"/>
        <v>1</v>
      </c>
      <c r="E10" t="b">
        <f t="shared" si="1"/>
        <v>1</v>
      </c>
    </row>
    <row r="11" spans="1:5" x14ac:dyDescent="0.3">
      <c r="A11">
        <v>8.9778672032193096</v>
      </c>
      <c r="B11">
        <v>6.9553805774278299</v>
      </c>
      <c r="C11" s="1">
        <f>Params!$B$1+ROUND(Other!A11,0)</f>
        <v>44691</v>
      </c>
      <c r="D11">
        <f t="shared" si="0"/>
        <v>7</v>
      </c>
      <c r="E11" t="b">
        <f t="shared" si="1"/>
        <v>1</v>
      </c>
    </row>
    <row r="12" spans="1:5" x14ac:dyDescent="0.3">
      <c r="A12">
        <v>9.99597585513078</v>
      </c>
      <c r="B12">
        <v>3.01837270341206</v>
      </c>
      <c r="C12" s="1">
        <f>Params!$B$1+ROUND(Other!A12,0)</f>
        <v>44692</v>
      </c>
      <c r="D12">
        <f t="shared" si="0"/>
        <v>3</v>
      </c>
      <c r="E12" t="b">
        <f t="shared" si="1"/>
        <v>1</v>
      </c>
    </row>
    <row r="13" spans="1:5" x14ac:dyDescent="0.3">
      <c r="A13">
        <v>11.014084507042201</v>
      </c>
      <c r="B13">
        <v>3.01837270341206</v>
      </c>
      <c r="C13" s="1">
        <f>Params!$B$1+ROUND(Other!A13,0)</f>
        <v>44693</v>
      </c>
      <c r="D13">
        <f t="shared" si="0"/>
        <v>3</v>
      </c>
      <c r="E13" t="b">
        <f t="shared" si="1"/>
        <v>1</v>
      </c>
    </row>
    <row r="14" spans="1:5" x14ac:dyDescent="0.3">
      <c r="A14">
        <v>12.032193158953699</v>
      </c>
      <c r="B14">
        <v>4.0682414698162503</v>
      </c>
      <c r="C14" s="1">
        <f>Params!$B$1+ROUND(Other!A14,0)</f>
        <v>44694</v>
      </c>
      <c r="D14">
        <f t="shared" si="0"/>
        <v>4</v>
      </c>
      <c r="E14" t="b">
        <f t="shared" si="1"/>
        <v>1</v>
      </c>
    </row>
    <row r="15" spans="1:5" x14ac:dyDescent="0.3">
      <c r="A15">
        <v>12.957746478873201</v>
      </c>
      <c r="B15">
        <v>4.0682414698162503</v>
      </c>
      <c r="C15" s="1">
        <f>Params!$B$1+ROUND(Other!A15,0)</f>
        <v>44695</v>
      </c>
      <c r="D15">
        <f t="shared" si="0"/>
        <v>4</v>
      </c>
      <c r="E15" t="b">
        <f t="shared" si="1"/>
        <v>1</v>
      </c>
    </row>
    <row r="16" spans="1:5" x14ac:dyDescent="0.3">
      <c r="A16">
        <v>13.9758551307847</v>
      </c>
      <c r="B16">
        <v>3.01837270341206</v>
      </c>
      <c r="C16" s="1">
        <f>Params!$B$1+ROUND(Other!A16,0)</f>
        <v>44696</v>
      </c>
      <c r="D16">
        <f t="shared" si="0"/>
        <v>3</v>
      </c>
      <c r="E16" t="b">
        <f t="shared" si="1"/>
        <v>1</v>
      </c>
    </row>
    <row r="17" spans="1:5" x14ac:dyDescent="0.3">
      <c r="A17">
        <v>14.993963782696101</v>
      </c>
      <c r="B17">
        <v>4.0682414698162503</v>
      </c>
      <c r="C17" s="1">
        <f>Params!$B$1+ROUND(Other!A17,0)</f>
        <v>44697</v>
      </c>
      <c r="D17">
        <f t="shared" si="0"/>
        <v>4</v>
      </c>
      <c r="E17" t="b">
        <f t="shared" si="1"/>
        <v>1</v>
      </c>
    </row>
    <row r="18" spans="1:5" x14ac:dyDescent="0.3">
      <c r="A18">
        <v>16.0120724346076</v>
      </c>
      <c r="B18">
        <v>1.0498687664042099</v>
      </c>
      <c r="C18" s="1">
        <f>Params!$B$1+ROUND(Other!A18,0)</f>
        <v>44698</v>
      </c>
      <c r="D18">
        <f t="shared" si="0"/>
        <v>1</v>
      </c>
      <c r="E18" t="b">
        <f t="shared" si="1"/>
        <v>1</v>
      </c>
    </row>
    <row r="19" spans="1:5" x14ac:dyDescent="0.3">
      <c r="A19">
        <v>16.937625754527101</v>
      </c>
      <c r="B19">
        <v>1.9685039370078801</v>
      </c>
      <c r="C19" s="1">
        <f>Params!$B$1+ROUND(Other!A19,0)</f>
        <v>44699</v>
      </c>
      <c r="D19">
        <f t="shared" si="0"/>
        <v>2</v>
      </c>
      <c r="E19" t="b">
        <f t="shared" si="1"/>
        <v>1</v>
      </c>
    </row>
    <row r="20" spans="1:5" x14ac:dyDescent="0.3">
      <c r="A20">
        <v>17.955734406438602</v>
      </c>
      <c r="B20">
        <v>3.01837270341206</v>
      </c>
      <c r="C20" s="1">
        <f>Params!$B$1+ROUND(Other!A20,0)</f>
        <v>44700</v>
      </c>
      <c r="D20">
        <f t="shared" si="0"/>
        <v>3</v>
      </c>
      <c r="E20" t="b">
        <f t="shared" si="1"/>
        <v>1</v>
      </c>
    </row>
    <row r="21" spans="1:5" x14ac:dyDescent="0.3">
      <c r="A21">
        <v>19.9919517102615</v>
      </c>
      <c r="B21">
        <v>3.01837270341206</v>
      </c>
      <c r="C21" s="1">
        <f>Params!$B$1+ROUND(Other!A21,0)</f>
        <v>44702</v>
      </c>
      <c r="D21">
        <f t="shared" si="0"/>
        <v>3</v>
      </c>
      <c r="E21" t="b">
        <f t="shared" si="1"/>
        <v>0</v>
      </c>
    </row>
    <row r="22" spans="1:5" x14ac:dyDescent="0.3">
      <c r="A22">
        <v>21.010060362173</v>
      </c>
      <c r="B22">
        <v>4.9868766404199496</v>
      </c>
      <c r="C22" s="1">
        <f>Params!$B$1+ROUND(Other!A22,0)</f>
        <v>44703</v>
      </c>
      <c r="D22">
        <f t="shared" si="0"/>
        <v>5</v>
      </c>
      <c r="E22" t="b">
        <f t="shared" si="1"/>
        <v>1</v>
      </c>
    </row>
    <row r="23" spans="1:5" x14ac:dyDescent="0.3">
      <c r="A23">
        <v>22.028169014084501</v>
      </c>
      <c r="B23">
        <v>8.9238845144356809</v>
      </c>
      <c r="C23" s="1">
        <f>Params!$B$1+ROUND(Other!A23,0)</f>
        <v>44704</v>
      </c>
      <c r="D23">
        <f t="shared" si="0"/>
        <v>9</v>
      </c>
      <c r="E23" t="b">
        <f t="shared" si="1"/>
        <v>1</v>
      </c>
    </row>
    <row r="24" spans="1:5" x14ac:dyDescent="0.3">
      <c r="A24">
        <v>22.953722334003999</v>
      </c>
      <c r="B24">
        <v>3.01837270341206</v>
      </c>
      <c r="C24" s="1">
        <f>Params!$B$1+ROUND(Other!A24,0)</f>
        <v>44705</v>
      </c>
      <c r="D24">
        <f t="shared" si="0"/>
        <v>3</v>
      </c>
      <c r="E24" t="b">
        <f t="shared" si="1"/>
        <v>1</v>
      </c>
    </row>
    <row r="25" spans="1:5" x14ac:dyDescent="0.3">
      <c r="A25">
        <v>23.971830985915499</v>
      </c>
      <c r="B25">
        <v>10.1049868766404</v>
      </c>
      <c r="C25" s="1">
        <f>Params!$B$1+ROUND(Other!A25,0)</f>
        <v>44706</v>
      </c>
      <c r="D25">
        <f t="shared" si="0"/>
        <v>10</v>
      </c>
      <c r="E25" t="b">
        <f t="shared" si="1"/>
        <v>1</v>
      </c>
    </row>
    <row r="26" spans="1:5" x14ac:dyDescent="0.3">
      <c r="A26">
        <v>24.9899396378269</v>
      </c>
      <c r="B26">
        <v>4.0682414698162503</v>
      </c>
      <c r="C26" s="1">
        <f>Params!$B$1+ROUND(Other!A26,0)</f>
        <v>44707</v>
      </c>
      <c r="D26">
        <f t="shared" si="0"/>
        <v>4</v>
      </c>
      <c r="E26" t="b">
        <f t="shared" si="1"/>
        <v>1</v>
      </c>
    </row>
    <row r="27" spans="1:5" x14ac:dyDescent="0.3">
      <c r="A27">
        <v>26.008048289738401</v>
      </c>
      <c r="B27">
        <v>8.9238845144356809</v>
      </c>
      <c r="C27" s="1">
        <f>Params!$B$1+ROUND(Other!A27,0)</f>
        <v>44708</v>
      </c>
      <c r="D27">
        <f t="shared" si="0"/>
        <v>9</v>
      </c>
      <c r="E27" t="b">
        <f t="shared" si="1"/>
        <v>1</v>
      </c>
    </row>
    <row r="28" spans="1:5" x14ac:dyDescent="0.3">
      <c r="A28">
        <v>26.933601609657899</v>
      </c>
      <c r="B28">
        <v>6.9553805774278299</v>
      </c>
      <c r="C28" s="1">
        <f>Params!$B$1+ROUND(Other!A28,0)</f>
        <v>44709</v>
      </c>
      <c r="D28">
        <f t="shared" si="0"/>
        <v>7</v>
      </c>
      <c r="E28" t="b">
        <f t="shared" si="1"/>
        <v>1</v>
      </c>
    </row>
    <row r="29" spans="1:5" x14ac:dyDescent="0.3">
      <c r="A29">
        <v>27.951710261569399</v>
      </c>
      <c r="B29">
        <v>6.0367454068241297</v>
      </c>
      <c r="C29" s="1">
        <f>Params!$B$1+ROUND(Other!A29,0)</f>
        <v>44710</v>
      </c>
      <c r="D29">
        <f t="shared" si="0"/>
        <v>6</v>
      </c>
      <c r="E29" t="b">
        <f t="shared" si="1"/>
        <v>1</v>
      </c>
    </row>
    <row r="30" spans="1:5" x14ac:dyDescent="0.3">
      <c r="A30">
        <v>28.9698189134808</v>
      </c>
      <c r="B30">
        <v>13.910761154855599</v>
      </c>
      <c r="C30" s="1">
        <f>Params!$B$1+ROUND(Other!A30,0)</f>
        <v>44711</v>
      </c>
      <c r="D30">
        <f t="shared" si="0"/>
        <v>14</v>
      </c>
      <c r="E30" t="b">
        <f t="shared" si="1"/>
        <v>1</v>
      </c>
    </row>
    <row r="31" spans="1:5" x14ac:dyDescent="0.3">
      <c r="A31">
        <v>29.987927565392301</v>
      </c>
      <c r="B31">
        <v>12.0734908136483</v>
      </c>
      <c r="C31" s="1">
        <f>Params!$B$1+ROUND(Other!A31,0)</f>
        <v>44712</v>
      </c>
      <c r="D31">
        <f t="shared" si="0"/>
        <v>12</v>
      </c>
      <c r="E31" t="b">
        <f t="shared" si="1"/>
        <v>1</v>
      </c>
    </row>
    <row r="32" spans="1:5" x14ac:dyDescent="0.3">
      <c r="A32">
        <v>30.913480885311799</v>
      </c>
      <c r="B32">
        <v>8.9238845144356809</v>
      </c>
      <c r="C32" s="1">
        <f>Params!$B$1+ROUND(Other!A32,0)</f>
        <v>44713</v>
      </c>
      <c r="D32">
        <f t="shared" si="0"/>
        <v>9</v>
      </c>
      <c r="E32" t="b">
        <f t="shared" si="1"/>
        <v>1</v>
      </c>
    </row>
    <row r="33" spans="1:5" x14ac:dyDescent="0.3">
      <c r="A33">
        <v>32.024144869215199</v>
      </c>
      <c r="B33">
        <v>10.1049868766404</v>
      </c>
      <c r="C33" s="1">
        <f>Params!$B$1+ROUND(Other!A33,0)</f>
        <v>44714</v>
      </c>
      <c r="D33">
        <f t="shared" si="0"/>
        <v>10</v>
      </c>
      <c r="E33" t="b">
        <f t="shared" si="1"/>
        <v>1</v>
      </c>
    </row>
    <row r="34" spans="1:5" x14ac:dyDescent="0.3">
      <c r="A34">
        <v>33.042253521126703</v>
      </c>
      <c r="B34">
        <v>12.0734908136483</v>
      </c>
      <c r="C34" s="1">
        <f>Params!$B$1+ROUND(Other!A34,0)</f>
        <v>44715</v>
      </c>
      <c r="D34">
        <f t="shared" si="0"/>
        <v>12</v>
      </c>
      <c r="E34" t="b">
        <f t="shared" si="1"/>
        <v>1</v>
      </c>
    </row>
    <row r="35" spans="1:5" x14ac:dyDescent="0.3">
      <c r="A35">
        <v>33.967806841046198</v>
      </c>
      <c r="B35">
        <v>17.979002624671899</v>
      </c>
      <c r="C35" s="1">
        <f>Params!$B$1+ROUND(Other!A35,0)</f>
        <v>44716</v>
      </c>
      <c r="D35">
        <f t="shared" si="0"/>
        <v>18</v>
      </c>
      <c r="E35" t="b">
        <f t="shared" si="1"/>
        <v>1</v>
      </c>
    </row>
    <row r="36" spans="1:5" x14ac:dyDescent="0.3">
      <c r="A36">
        <v>34.985915492957702</v>
      </c>
      <c r="B36">
        <v>12.0734908136483</v>
      </c>
      <c r="C36" s="1">
        <f>Params!$B$1+ROUND(Other!A36,0)</f>
        <v>44717</v>
      </c>
      <c r="D36">
        <f t="shared" si="0"/>
        <v>12</v>
      </c>
      <c r="E36" t="b">
        <f t="shared" si="1"/>
        <v>1</v>
      </c>
    </row>
    <row r="37" spans="1:5" x14ac:dyDescent="0.3">
      <c r="A37">
        <v>36.004024144869199</v>
      </c>
      <c r="B37">
        <v>14.9606299212598</v>
      </c>
      <c r="C37" s="1">
        <f>Params!$B$1+ROUND(Other!A37,0)</f>
        <v>44718</v>
      </c>
      <c r="D37">
        <f t="shared" si="0"/>
        <v>15</v>
      </c>
      <c r="E37" t="b">
        <f t="shared" si="1"/>
        <v>1</v>
      </c>
    </row>
    <row r="38" spans="1:5" x14ac:dyDescent="0.3">
      <c r="A38">
        <v>37.022132796780603</v>
      </c>
      <c r="B38">
        <v>14.0419947506561</v>
      </c>
      <c r="C38" s="1">
        <f>Params!$B$1+ROUND(Other!A38,0)</f>
        <v>44719</v>
      </c>
      <c r="D38">
        <f t="shared" si="0"/>
        <v>14</v>
      </c>
      <c r="E38" t="b">
        <f t="shared" si="1"/>
        <v>1</v>
      </c>
    </row>
    <row r="39" spans="1:5" x14ac:dyDescent="0.3">
      <c r="A39">
        <v>37.947686116700197</v>
      </c>
      <c r="B39">
        <v>18.110236220472402</v>
      </c>
      <c r="C39" s="1">
        <f>Params!$B$1+ROUND(Other!A39,0)</f>
        <v>44720</v>
      </c>
      <c r="D39">
        <f t="shared" si="0"/>
        <v>18</v>
      </c>
      <c r="E39" t="b">
        <f t="shared" si="1"/>
        <v>1</v>
      </c>
    </row>
    <row r="40" spans="1:5" x14ac:dyDescent="0.3">
      <c r="A40">
        <v>39.058350100603597</v>
      </c>
      <c r="B40">
        <v>19.028871391076098</v>
      </c>
      <c r="C40" s="1">
        <f>Params!$B$1+ROUND(Other!A40,0)</f>
        <v>44721</v>
      </c>
      <c r="D40">
        <f t="shared" si="0"/>
        <v>19</v>
      </c>
      <c r="E40" t="b">
        <f t="shared" si="1"/>
        <v>1</v>
      </c>
    </row>
    <row r="41" spans="1:5" x14ac:dyDescent="0.3">
      <c r="A41">
        <v>39.983903420523099</v>
      </c>
      <c r="B41">
        <v>19.028871391076098</v>
      </c>
      <c r="C41" s="1">
        <f>Params!$B$1+ROUND(Other!A41,0)</f>
        <v>44722</v>
      </c>
      <c r="D41">
        <f t="shared" si="0"/>
        <v>19</v>
      </c>
      <c r="E41" t="b">
        <f t="shared" si="1"/>
        <v>1</v>
      </c>
    </row>
    <row r="42" spans="1:5" x14ac:dyDescent="0.3">
      <c r="A42">
        <v>41.094567404426499</v>
      </c>
      <c r="B42">
        <v>20.997375328083901</v>
      </c>
      <c r="C42" s="1">
        <f>Params!$B$1+ROUND(Other!A42,0)</f>
        <v>44723</v>
      </c>
      <c r="D42">
        <f t="shared" si="0"/>
        <v>21</v>
      </c>
      <c r="E42" t="b">
        <f t="shared" si="1"/>
        <v>1</v>
      </c>
    </row>
    <row r="43" spans="1:5" x14ac:dyDescent="0.3">
      <c r="A43">
        <v>42.020120724346</v>
      </c>
      <c r="B43">
        <v>17.979002624671899</v>
      </c>
      <c r="C43" s="1">
        <f>Params!$B$1+ROUND(Other!A43,0)</f>
        <v>44724</v>
      </c>
      <c r="D43">
        <f t="shared" si="0"/>
        <v>18</v>
      </c>
      <c r="E43" t="b">
        <f t="shared" si="1"/>
        <v>1</v>
      </c>
    </row>
    <row r="44" spans="1:5" x14ac:dyDescent="0.3">
      <c r="A44">
        <v>42.945674044265601</v>
      </c>
      <c r="B44">
        <v>26.902887139107602</v>
      </c>
      <c r="C44" s="1">
        <f>Params!$B$1+ROUND(Other!A44,0)</f>
        <v>44725</v>
      </c>
      <c r="D44">
        <f t="shared" si="0"/>
        <v>27</v>
      </c>
      <c r="E44" t="b">
        <f t="shared" si="1"/>
        <v>1</v>
      </c>
    </row>
    <row r="45" spans="1:5" x14ac:dyDescent="0.3">
      <c r="A45">
        <v>43.963782696176999</v>
      </c>
      <c r="B45">
        <v>25.065616797900201</v>
      </c>
      <c r="C45" s="1">
        <f>Params!$B$1+ROUND(Other!A45,0)</f>
        <v>44726</v>
      </c>
      <c r="D45">
        <f t="shared" si="0"/>
        <v>25</v>
      </c>
      <c r="E45" t="b">
        <f t="shared" si="1"/>
        <v>1</v>
      </c>
    </row>
    <row r="46" spans="1:5" x14ac:dyDescent="0.3">
      <c r="A46">
        <v>44.981891348088503</v>
      </c>
      <c r="B46">
        <v>32.152230971128603</v>
      </c>
      <c r="C46" s="1">
        <f>Params!$B$1+ROUND(Other!A46,0)</f>
        <v>44727</v>
      </c>
      <c r="D46">
        <f t="shared" si="0"/>
        <v>32</v>
      </c>
      <c r="E46" t="b">
        <f t="shared" si="1"/>
        <v>1</v>
      </c>
    </row>
    <row r="47" spans="1:5" x14ac:dyDescent="0.3">
      <c r="A47">
        <v>46</v>
      </c>
      <c r="B47">
        <v>23.097112860892299</v>
      </c>
      <c r="C47" s="1">
        <f>Params!$B$1+ROUND(Other!A47,0)</f>
        <v>44728</v>
      </c>
      <c r="D47">
        <f t="shared" si="0"/>
        <v>23</v>
      </c>
      <c r="E47" t="b">
        <f t="shared" si="1"/>
        <v>1</v>
      </c>
    </row>
    <row r="48" spans="1:5" x14ac:dyDescent="0.3">
      <c r="A48">
        <v>47.018108651911398</v>
      </c>
      <c r="B48">
        <v>28.083989501312299</v>
      </c>
      <c r="C48" s="1">
        <f>Params!$B$1+ROUND(Other!A48,0)</f>
        <v>44729</v>
      </c>
      <c r="D48">
        <f t="shared" si="0"/>
        <v>28</v>
      </c>
      <c r="E48" t="b">
        <f t="shared" si="1"/>
        <v>1</v>
      </c>
    </row>
    <row r="49" spans="1:5" x14ac:dyDescent="0.3">
      <c r="A49">
        <v>47.943661971830899</v>
      </c>
      <c r="B49">
        <v>23.097112860892299</v>
      </c>
      <c r="C49" s="1">
        <f>Params!$B$1+ROUND(Other!A49,0)</f>
        <v>44730</v>
      </c>
      <c r="D49">
        <f t="shared" si="0"/>
        <v>23</v>
      </c>
      <c r="E49" t="b">
        <f t="shared" si="1"/>
        <v>1</v>
      </c>
    </row>
    <row r="50" spans="1:5" x14ac:dyDescent="0.3">
      <c r="A50">
        <v>48.961770623742403</v>
      </c>
      <c r="B50">
        <v>32.152230971128603</v>
      </c>
      <c r="C50" s="1">
        <f>Params!$B$1+ROUND(Other!A50,0)</f>
        <v>44731</v>
      </c>
      <c r="D50">
        <f t="shared" si="0"/>
        <v>32</v>
      </c>
      <c r="E50" t="b">
        <f t="shared" si="1"/>
        <v>1</v>
      </c>
    </row>
    <row r="51" spans="1:5" x14ac:dyDescent="0.3">
      <c r="A51">
        <v>49.9798792756539</v>
      </c>
      <c r="B51">
        <v>29.002624671915999</v>
      </c>
      <c r="C51" s="1">
        <f>Params!$B$1+ROUND(Other!A51,0)</f>
        <v>44732</v>
      </c>
      <c r="D51">
        <f t="shared" si="0"/>
        <v>29</v>
      </c>
      <c r="E51" t="b">
        <f t="shared" si="1"/>
        <v>1</v>
      </c>
    </row>
    <row r="52" spans="1:5" x14ac:dyDescent="0.3">
      <c r="A52">
        <v>50.997987927565397</v>
      </c>
      <c r="B52">
        <v>25.065616797900201</v>
      </c>
      <c r="C52" s="1">
        <f>Params!$B$1+ROUND(Other!A52,0)</f>
        <v>44733</v>
      </c>
      <c r="D52">
        <f t="shared" si="0"/>
        <v>25</v>
      </c>
      <c r="E52" t="b">
        <f t="shared" si="1"/>
        <v>1</v>
      </c>
    </row>
    <row r="53" spans="1:5" x14ac:dyDescent="0.3">
      <c r="A53">
        <v>51.923541247484899</v>
      </c>
      <c r="B53">
        <v>36.089238845144301</v>
      </c>
      <c r="C53" s="1">
        <f>Params!$B$1+ROUND(Other!A53,0)</f>
        <v>44734</v>
      </c>
      <c r="D53">
        <f t="shared" si="0"/>
        <v>36</v>
      </c>
      <c r="E53" t="b">
        <f t="shared" si="1"/>
        <v>1</v>
      </c>
    </row>
    <row r="54" spans="1:5" x14ac:dyDescent="0.3">
      <c r="A54">
        <v>53.034205231388299</v>
      </c>
      <c r="B54">
        <v>25.984251968503902</v>
      </c>
      <c r="C54" s="1">
        <f>Params!$B$1+ROUND(Other!A54,0)</f>
        <v>44735</v>
      </c>
      <c r="D54">
        <f t="shared" si="0"/>
        <v>26</v>
      </c>
      <c r="E54" t="b">
        <f t="shared" si="1"/>
        <v>1</v>
      </c>
    </row>
    <row r="55" spans="1:5" x14ac:dyDescent="0.3">
      <c r="A55">
        <v>53.9597585513078</v>
      </c>
      <c r="B55">
        <v>24.146981627296501</v>
      </c>
      <c r="C55" s="1">
        <f>Params!$B$1+ROUND(Other!A55,0)</f>
        <v>44736</v>
      </c>
      <c r="D55">
        <f t="shared" si="0"/>
        <v>24</v>
      </c>
      <c r="E55" t="b">
        <f t="shared" si="1"/>
        <v>1</v>
      </c>
    </row>
    <row r="56" spans="1:5" x14ac:dyDescent="0.3">
      <c r="A56">
        <v>54.977867203219297</v>
      </c>
      <c r="B56">
        <v>38.057742782152197</v>
      </c>
      <c r="C56" s="1">
        <f>Params!$B$1+ROUND(Other!A56,0)</f>
        <v>44737</v>
      </c>
      <c r="D56">
        <f t="shared" si="0"/>
        <v>38</v>
      </c>
      <c r="E56" t="b">
        <f t="shared" si="1"/>
        <v>1</v>
      </c>
    </row>
    <row r="57" spans="1:5" x14ac:dyDescent="0.3">
      <c r="A57">
        <v>55.903420523138799</v>
      </c>
      <c r="B57">
        <v>33.070866141732203</v>
      </c>
      <c r="C57" s="1">
        <f>Params!$B$1+ROUND(Other!A57,0)</f>
        <v>44738</v>
      </c>
      <c r="D57">
        <f t="shared" si="0"/>
        <v>33</v>
      </c>
      <c r="E57" t="b">
        <f t="shared" si="1"/>
        <v>1</v>
      </c>
    </row>
    <row r="58" spans="1:5" x14ac:dyDescent="0.3">
      <c r="A58">
        <v>57.014084507042199</v>
      </c>
      <c r="B58">
        <v>40.026246719160099</v>
      </c>
      <c r="C58" s="1">
        <f>Params!$B$1+ROUND(Other!A58,0)</f>
        <v>44739</v>
      </c>
      <c r="D58">
        <f t="shared" si="0"/>
        <v>40</v>
      </c>
      <c r="E58" t="b">
        <f t="shared" si="1"/>
        <v>1</v>
      </c>
    </row>
    <row r="59" spans="1:5" x14ac:dyDescent="0.3">
      <c r="A59">
        <v>58.032193158953703</v>
      </c>
      <c r="B59">
        <v>45.9317585301837</v>
      </c>
      <c r="C59" s="1">
        <f>Params!$B$1+ROUND(Other!A59,0)</f>
        <v>44740</v>
      </c>
      <c r="D59">
        <f t="shared" si="0"/>
        <v>46</v>
      </c>
      <c r="E59" t="b">
        <f t="shared" si="1"/>
        <v>1</v>
      </c>
    </row>
    <row r="60" spans="1:5" x14ac:dyDescent="0.3">
      <c r="A60">
        <v>59.0503018108652</v>
      </c>
      <c r="B60">
        <v>34.908136482939597</v>
      </c>
      <c r="C60" s="1">
        <f>Params!$B$1+ROUND(Other!A60,0)</f>
        <v>44741</v>
      </c>
      <c r="D60">
        <f t="shared" si="0"/>
        <v>35</v>
      </c>
      <c r="E60" t="b">
        <f t="shared" si="1"/>
        <v>1</v>
      </c>
    </row>
    <row r="61" spans="1:5" x14ac:dyDescent="0.3">
      <c r="A61">
        <v>59.975855130784701</v>
      </c>
      <c r="B61">
        <v>30.1837270341207</v>
      </c>
      <c r="C61" s="1">
        <f>Params!$B$1+ROUND(Other!A61,0)</f>
        <v>44742</v>
      </c>
      <c r="D61">
        <f t="shared" si="0"/>
        <v>30</v>
      </c>
      <c r="E61" t="b">
        <f t="shared" si="1"/>
        <v>1</v>
      </c>
    </row>
    <row r="62" spans="1:5" x14ac:dyDescent="0.3">
      <c r="A62">
        <v>60.993963782696099</v>
      </c>
      <c r="B62">
        <v>41.994750656167902</v>
      </c>
      <c r="C62" s="1">
        <f>Params!$B$1+ROUND(Other!A62,0)</f>
        <v>44743</v>
      </c>
      <c r="D62">
        <f t="shared" si="0"/>
        <v>42</v>
      </c>
      <c r="E62" t="b">
        <f t="shared" si="1"/>
        <v>1</v>
      </c>
    </row>
    <row r="63" spans="1:5" x14ac:dyDescent="0.3">
      <c r="A63">
        <v>62.012072434607603</v>
      </c>
      <c r="B63">
        <v>53.018372703411998</v>
      </c>
      <c r="C63" s="1">
        <f>Params!$B$1+ROUND(Other!A63,0)</f>
        <v>44744</v>
      </c>
      <c r="D63">
        <f t="shared" si="0"/>
        <v>53</v>
      </c>
      <c r="E63" t="b">
        <f t="shared" si="1"/>
        <v>1</v>
      </c>
    </row>
    <row r="64" spans="1:5" x14ac:dyDescent="0.3">
      <c r="A64">
        <v>62.937625754527097</v>
      </c>
      <c r="B64">
        <v>46.062992125984202</v>
      </c>
      <c r="C64" s="1">
        <f>Params!$B$1+ROUND(Other!A64,0)</f>
        <v>44745</v>
      </c>
      <c r="D64">
        <f t="shared" si="0"/>
        <v>46</v>
      </c>
      <c r="E64" t="b">
        <f t="shared" si="1"/>
        <v>1</v>
      </c>
    </row>
    <row r="65" spans="1:5" x14ac:dyDescent="0.3">
      <c r="A65">
        <v>63.955734406438602</v>
      </c>
      <c r="B65">
        <v>38.057742782152197</v>
      </c>
      <c r="C65" s="1">
        <f>Params!$B$1+ROUND(Other!A65,0)</f>
        <v>44746</v>
      </c>
      <c r="D65">
        <f t="shared" si="0"/>
        <v>38</v>
      </c>
      <c r="E65" t="b">
        <f t="shared" si="1"/>
        <v>1</v>
      </c>
    </row>
    <row r="66" spans="1:5" x14ac:dyDescent="0.3">
      <c r="A66">
        <v>64.881287726358096</v>
      </c>
      <c r="B66">
        <v>41.994750656167902</v>
      </c>
      <c r="C66" s="1">
        <f>Params!$B$1+ROUND(Other!A66,0)</f>
        <v>44747</v>
      </c>
      <c r="D66">
        <f t="shared" si="0"/>
        <v>42</v>
      </c>
      <c r="E66" t="b">
        <f t="shared" si="1"/>
        <v>1</v>
      </c>
    </row>
    <row r="67" spans="1:5" x14ac:dyDescent="0.3">
      <c r="A67">
        <v>65.991951710261503</v>
      </c>
      <c r="B67">
        <v>64.041994750656102</v>
      </c>
      <c r="C67" s="1">
        <f>Params!$B$1+ROUND(Other!A67,0)</f>
        <v>44748</v>
      </c>
      <c r="D67">
        <f t="shared" ref="D67:D102" si="2">ROUND(B67,0)</f>
        <v>64</v>
      </c>
      <c r="E67" t="b">
        <f t="shared" si="1"/>
        <v>1</v>
      </c>
    </row>
    <row r="68" spans="1:5" x14ac:dyDescent="0.3">
      <c r="A68">
        <v>66.917505030181104</v>
      </c>
      <c r="B68">
        <v>40.026246719160099</v>
      </c>
      <c r="C68" s="1">
        <f>Params!$B$1+ROUND(Other!A68,0)</f>
        <v>44749</v>
      </c>
      <c r="D68">
        <f t="shared" si="2"/>
        <v>40</v>
      </c>
      <c r="E68" t="b">
        <f t="shared" ref="E68:E102" si="3">C68=C67+1</f>
        <v>1</v>
      </c>
    </row>
    <row r="69" spans="1:5" x14ac:dyDescent="0.3">
      <c r="A69">
        <v>68.028169014084497</v>
      </c>
      <c r="B69">
        <v>37.007874015748001</v>
      </c>
      <c r="C69" s="1">
        <f>Params!$B$1+ROUND(Other!A69,0)</f>
        <v>44750</v>
      </c>
      <c r="D69">
        <f t="shared" si="2"/>
        <v>37</v>
      </c>
      <c r="E69" t="b">
        <f t="shared" si="3"/>
        <v>1</v>
      </c>
    </row>
    <row r="70" spans="1:5" x14ac:dyDescent="0.3">
      <c r="A70">
        <v>68.953722334003999</v>
      </c>
      <c r="B70">
        <v>53.937007874015698</v>
      </c>
      <c r="C70" s="1">
        <f>Params!$B$1+ROUND(Other!A70,0)</f>
        <v>44751</v>
      </c>
      <c r="D70">
        <f t="shared" si="2"/>
        <v>54</v>
      </c>
      <c r="E70" t="b">
        <f t="shared" si="3"/>
        <v>1</v>
      </c>
    </row>
    <row r="71" spans="1:5" x14ac:dyDescent="0.3">
      <c r="A71">
        <v>69.971830985915503</v>
      </c>
      <c r="B71">
        <v>43.175853018372699</v>
      </c>
      <c r="C71" s="1">
        <f>Params!$B$1+ROUND(Other!A71,0)</f>
        <v>44752</v>
      </c>
      <c r="D71">
        <f t="shared" si="2"/>
        <v>43</v>
      </c>
      <c r="E71" t="b">
        <f t="shared" si="3"/>
        <v>1</v>
      </c>
    </row>
    <row r="72" spans="1:5" x14ac:dyDescent="0.3">
      <c r="A72">
        <v>70.989939637826893</v>
      </c>
      <c r="B72">
        <v>69.028871391076095</v>
      </c>
      <c r="C72" s="1">
        <f>Params!$B$1+ROUND(Other!A72,0)</f>
        <v>44753</v>
      </c>
      <c r="D72">
        <f t="shared" si="2"/>
        <v>69</v>
      </c>
      <c r="E72" t="b">
        <f t="shared" si="3"/>
        <v>1</v>
      </c>
    </row>
    <row r="73" spans="1:5" x14ac:dyDescent="0.3">
      <c r="A73">
        <v>72.008048289738397</v>
      </c>
      <c r="B73">
        <v>41.8635170603674</v>
      </c>
      <c r="C73" s="1">
        <f>Params!$B$1+ROUND(Other!A73,0)</f>
        <v>44754</v>
      </c>
      <c r="D73">
        <f t="shared" si="2"/>
        <v>42</v>
      </c>
      <c r="E73" t="b">
        <f t="shared" si="3"/>
        <v>1</v>
      </c>
    </row>
    <row r="74" spans="1:5" x14ac:dyDescent="0.3">
      <c r="A74">
        <v>72.933601609657899</v>
      </c>
      <c r="B74">
        <v>51.049868766404202</v>
      </c>
      <c r="C74" s="1">
        <f>Params!$B$1+ROUND(Other!A74,0)</f>
        <v>44755</v>
      </c>
      <c r="D74">
        <f t="shared" si="2"/>
        <v>51</v>
      </c>
      <c r="E74" t="b">
        <f t="shared" si="3"/>
        <v>1</v>
      </c>
    </row>
    <row r="75" spans="1:5" x14ac:dyDescent="0.3">
      <c r="A75">
        <v>73.951710261569403</v>
      </c>
      <c r="B75">
        <v>48.950131233595798</v>
      </c>
      <c r="C75" s="1">
        <f>Params!$B$1+ROUND(Other!A75,0)</f>
        <v>44756</v>
      </c>
      <c r="D75">
        <f t="shared" si="2"/>
        <v>49</v>
      </c>
      <c r="E75" t="b">
        <f t="shared" si="3"/>
        <v>1</v>
      </c>
    </row>
    <row r="76" spans="1:5" x14ac:dyDescent="0.3">
      <c r="A76">
        <v>74.969818913480793</v>
      </c>
      <c r="B76">
        <v>44.0944881889763</v>
      </c>
      <c r="C76" s="1">
        <f>Params!$B$1+ROUND(Other!A76,0)</f>
        <v>44757</v>
      </c>
      <c r="D76">
        <f t="shared" si="2"/>
        <v>44</v>
      </c>
      <c r="E76" t="b">
        <f t="shared" si="3"/>
        <v>1</v>
      </c>
    </row>
    <row r="77" spans="1:5" x14ac:dyDescent="0.3">
      <c r="A77">
        <v>75.987927565392297</v>
      </c>
      <c r="B77">
        <v>58.005249343831998</v>
      </c>
      <c r="C77" s="1">
        <f>Params!$B$1+ROUND(Other!A77,0)</f>
        <v>44758</v>
      </c>
      <c r="D77">
        <f t="shared" si="2"/>
        <v>58</v>
      </c>
      <c r="E77" t="b">
        <f t="shared" si="3"/>
        <v>1</v>
      </c>
    </row>
    <row r="78" spans="1:5" x14ac:dyDescent="0.3">
      <c r="A78">
        <v>76.913480885311799</v>
      </c>
      <c r="B78">
        <v>37.139107611548503</v>
      </c>
      <c r="C78" s="1">
        <f>Params!$B$1+ROUND(Other!A78,0)</f>
        <v>44759</v>
      </c>
      <c r="D78">
        <f t="shared" si="2"/>
        <v>37</v>
      </c>
      <c r="E78" t="b">
        <f t="shared" si="3"/>
        <v>1</v>
      </c>
    </row>
    <row r="79" spans="1:5" x14ac:dyDescent="0.3">
      <c r="A79">
        <v>78.024144869215306</v>
      </c>
      <c r="B79">
        <v>40.026246719160099</v>
      </c>
      <c r="C79" s="1">
        <f>Params!$B$1+ROUND(Other!A79,0)</f>
        <v>44760</v>
      </c>
      <c r="D79">
        <f t="shared" si="2"/>
        <v>40</v>
      </c>
      <c r="E79" t="b">
        <f t="shared" si="3"/>
        <v>1</v>
      </c>
    </row>
    <row r="80" spans="1:5" x14ac:dyDescent="0.3">
      <c r="A80">
        <v>78.949698189134807</v>
      </c>
      <c r="B80">
        <v>40.026246719160099</v>
      </c>
      <c r="C80" s="1">
        <f>Params!$B$1+ROUND(Other!A80,0)</f>
        <v>44761</v>
      </c>
      <c r="D80">
        <f t="shared" si="2"/>
        <v>40</v>
      </c>
      <c r="E80" t="b">
        <f t="shared" si="3"/>
        <v>1</v>
      </c>
    </row>
    <row r="81" spans="1:5" x14ac:dyDescent="0.3">
      <c r="A81">
        <v>79.967806841046198</v>
      </c>
      <c r="B81">
        <v>30.052493438320202</v>
      </c>
      <c r="C81" s="1">
        <f>Params!$B$1+ROUND(Other!A81,0)</f>
        <v>44762</v>
      </c>
      <c r="D81">
        <f t="shared" si="2"/>
        <v>30</v>
      </c>
      <c r="E81" t="b">
        <f t="shared" si="3"/>
        <v>1</v>
      </c>
    </row>
    <row r="82" spans="1:5" x14ac:dyDescent="0.3">
      <c r="A82">
        <v>80.893360160965798</v>
      </c>
      <c r="B82">
        <v>24.146981627296501</v>
      </c>
      <c r="C82" s="1">
        <f>Params!$B$1+ROUND(Other!A82,0)</f>
        <v>44763</v>
      </c>
      <c r="D82">
        <f t="shared" si="2"/>
        <v>24</v>
      </c>
      <c r="E82" t="b">
        <f t="shared" si="3"/>
        <v>1</v>
      </c>
    </row>
    <row r="83" spans="1:5" x14ac:dyDescent="0.3">
      <c r="A83">
        <v>81.911468812877203</v>
      </c>
      <c r="B83">
        <v>25.065616797900201</v>
      </c>
      <c r="C83" s="1">
        <f>Params!$B$1+ROUND(Other!A83,0)</f>
        <v>44764</v>
      </c>
      <c r="D83">
        <f t="shared" si="2"/>
        <v>25</v>
      </c>
      <c r="E83" t="b">
        <f t="shared" si="3"/>
        <v>1</v>
      </c>
    </row>
    <row r="84" spans="1:5" x14ac:dyDescent="0.3">
      <c r="A84">
        <v>83.022132796780696</v>
      </c>
      <c r="B84">
        <v>53.937007874015698</v>
      </c>
      <c r="C84" s="1">
        <f>Params!$B$1+ROUND(Other!A84,0)</f>
        <v>44765</v>
      </c>
      <c r="D84">
        <f t="shared" si="2"/>
        <v>54</v>
      </c>
      <c r="E84" t="b">
        <f t="shared" si="3"/>
        <v>1</v>
      </c>
    </row>
    <row r="85" spans="1:5" x14ac:dyDescent="0.3">
      <c r="A85">
        <v>83.947686116700197</v>
      </c>
      <c r="B85">
        <v>33.989501312335904</v>
      </c>
      <c r="C85" s="1">
        <f>Params!$B$1+ROUND(Other!A85,0)</f>
        <v>44766</v>
      </c>
      <c r="D85">
        <f t="shared" si="2"/>
        <v>34</v>
      </c>
      <c r="E85" t="b">
        <f t="shared" si="3"/>
        <v>1</v>
      </c>
    </row>
    <row r="86" spans="1:5" x14ac:dyDescent="0.3">
      <c r="A86">
        <v>84.965794768611602</v>
      </c>
      <c r="B86">
        <v>46.981627296587902</v>
      </c>
      <c r="C86" s="1">
        <f>Params!$B$1+ROUND(Other!A86,0)</f>
        <v>44767</v>
      </c>
      <c r="D86">
        <f t="shared" si="2"/>
        <v>47</v>
      </c>
      <c r="E86" t="b">
        <f t="shared" si="3"/>
        <v>1</v>
      </c>
    </row>
    <row r="87" spans="1:5" x14ac:dyDescent="0.3">
      <c r="A87">
        <v>85.983903420523106</v>
      </c>
      <c r="B87">
        <v>27.0341207349081</v>
      </c>
      <c r="C87" s="1">
        <f>Params!$B$1+ROUND(Other!A87,0)</f>
        <v>44768</v>
      </c>
      <c r="D87">
        <f t="shared" si="2"/>
        <v>27</v>
      </c>
      <c r="E87" t="b">
        <f t="shared" si="3"/>
        <v>1</v>
      </c>
    </row>
    <row r="88" spans="1:5" x14ac:dyDescent="0.3">
      <c r="A88">
        <v>86.909456740442593</v>
      </c>
      <c r="B88">
        <v>36.089238845144301</v>
      </c>
      <c r="C88" s="1">
        <f>Params!$B$1+ROUND(Other!A88,0)</f>
        <v>44769</v>
      </c>
      <c r="D88">
        <f t="shared" si="2"/>
        <v>36</v>
      </c>
      <c r="E88" t="b">
        <f t="shared" si="3"/>
        <v>1</v>
      </c>
    </row>
    <row r="89" spans="1:5" x14ac:dyDescent="0.3">
      <c r="A89">
        <v>88.020120724346</v>
      </c>
      <c r="B89">
        <v>22.0472440944881</v>
      </c>
      <c r="C89" s="1">
        <f>Params!$B$1+ROUND(Other!A89,0)</f>
        <v>44770</v>
      </c>
      <c r="D89">
        <f t="shared" si="2"/>
        <v>22</v>
      </c>
      <c r="E89" t="b">
        <f t="shared" si="3"/>
        <v>1</v>
      </c>
    </row>
    <row r="90" spans="1:5" x14ac:dyDescent="0.3">
      <c r="A90">
        <v>88.945674044265601</v>
      </c>
      <c r="B90">
        <v>28.083989501312299</v>
      </c>
      <c r="C90" s="1">
        <f>Params!$B$1+ROUND(Other!A90,0)</f>
        <v>44771</v>
      </c>
      <c r="D90">
        <f t="shared" si="2"/>
        <v>28</v>
      </c>
      <c r="E90" t="b">
        <f t="shared" si="3"/>
        <v>1</v>
      </c>
    </row>
    <row r="91" spans="1:5" x14ac:dyDescent="0.3">
      <c r="A91">
        <v>89.963782696177006</v>
      </c>
      <c r="B91">
        <v>29.002624671915999</v>
      </c>
      <c r="C91" s="1">
        <f>Params!$B$1+ROUND(Other!A91,0)</f>
        <v>44772</v>
      </c>
      <c r="D91">
        <f t="shared" si="2"/>
        <v>29</v>
      </c>
      <c r="E91" t="b">
        <f t="shared" si="3"/>
        <v>1</v>
      </c>
    </row>
    <row r="92" spans="1:5" x14ac:dyDescent="0.3">
      <c r="A92">
        <v>90.981891348088496</v>
      </c>
      <c r="B92">
        <v>24.146981627296501</v>
      </c>
      <c r="C92" s="1">
        <f>Params!$B$1+ROUND(Other!A92,0)</f>
        <v>44773</v>
      </c>
      <c r="D92">
        <f t="shared" si="2"/>
        <v>24</v>
      </c>
      <c r="E92" t="b">
        <f t="shared" si="3"/>
        <v>1</v>
      </c>
    </row>
    <row r="93" spans="1:5" x14ac:dyDescent="0.3">
      <c r="A93">
        <v>91.907444668007997</v>
      </c>
      <c r="B93">
        <v>20.997375328083901</v>
      </c>
      <c r="C93" s="1">
        <f>Params!$B$1+ROUND(Other!A93,0)</f>
        <v>44774</v>
      </c>
      <c r="D93">
        <f t="shared" si="2"/>
        <v>21</v>
      </c>
      <c r="E93" t="b">
        <f t="shared" si="3"/>
        <v>1</v>
      </c>
    </row>
    <row r="94" spans="1:5" x14ac:dyDescent="0.3">
      <c r="A94">
        <v>93.018108651911405</v>
      </c>
      <c r="B94">
        <v>19.1601049868766</v>
      </c>
      <c r="C94" s="1">
        <f>Params!$B$1+ROUND(Other!A94,0)</f>
        <v>44775</v>
      </c>
      <c r="D94">
        <f t="shared" si="2"/>
        <v>19</v>
      </c>
      <c r="E94" t="b">
        <f t="shared" si="3"/>
        <v>1</v>
      </c>
    </row>
    <row r="95" spans="1:5" x14ac:dyDescent="0.3">
      <c r="A95">
        <v>93.943661971831006</v>
      </c>
      <c r="B95">
        <v>18.110236220472402</v>
      </c>
      <c r="C95" s="1">
        <f>Params!$B$1+ROUND(Other!A95,0)</f>
        <v>44776</v>
      </c>
      <c r="D95">
        <f t="shared" si="2"/>
        <v>18</v>
      </c>
      <c r="E95" t="b">
        <f t="shared" si="3"/>
        <v>1</v>
      </c>
    </row>
    <row r="96" spans="1:5" x14ac:dyDescent="0.3">
      <c r="A96">
        <v>94.869215291750507</v>
      </c>
      <c r="B96">
        <v>10.1049868766404</v>
      </c>
      <c r="C96" s="1">
        <f>Params!$B$1+ROUND(Other!A96,0)</f>
        <v>44777</v>
      </c>
      <c r="D96">
        <f t="shared" si="2"/>
        <v>10</v>
      </c>
      <c r="E96" t="b">
        <f t="shared" si="3"/>
        <v>1</v>
      </c>
    </row>
    <row r="97" spans="1:5" x14ac:dyDescent="0.3">
      <c r="A97">
        <v>95.887323943661897</v>
      </c>
      <c r="B97">
        <v>10.1049868766404</v>
      </c>
      <c r="C97" s="1">
        <f>Params!$B$1+ROUND(Other!A97,0)</f>
        <v>44778</v>
      </c>
      <c r="D97">
        <f t="shared" si="2"/>
        <v>10</v>
      </c>
      <c r="E97" t="b">
        <f t="shared" si="3"/>
        <v>1</v>
      </c>
    </row>
    <row r="98" spans="1:5" x14ac:dyDescent="0.3">
      <c r="A98">
        <v>96.905432595573401</v>
      </c>
      <c r="B98">
        <v>4.1994750656167801</v>
      </c>
      <c r="C98" s="1">
        <f>Params!$B$1+ROUND(Other!A98,0)</f>
        <v>44779</v>
      </c>
      <c r="D98">
        <f t="shared" si="2"/>
        <v>4</v>
      </c>
      <c r="E98" t="b">
        <f t="shared" si="3"/>
        <v>1</v>
      </c>
    </row>
    <row r="99" spans="1:5" x14ac:dyDescent="0.3">
      <c r="A99">
        <v>98.016096579476795</v>
      </c>
      <c r="B99">
        <v>4.0682414698162503</v>
      </c>
      <c r="C99" s="1">
        <f>Params!$B$1+ROUND(Other!A99,0)</f>
        <v>44780</v>
      </c>
      <c r="D99">
        <f t="shared" si="2"/>
        <v>4</v>
      </c>
      <c r="E99" t="b">
        <f t="shared" si="3"/>
        <v>1</v>
      </c>
    </row>
    <row r="100" spans="1:5" x14ac:dyDescent="0.3">
      <c r="A100">
        <v>98.941649899396396</v>
      </c>
      <c r="B100">
        <v>4.0682414698162503</v>
      </c>
      <c r="C100" s="1">
        <f>Params!$B$1+ROUND(Other!A100,0)</f>
        <v>44781</v>
      </c>
      <c r="D100">
        <f t="shared" si="2"/>
        <v>4</v>
      </c>
      <c r="E100" t="b">
        <f t="shared" si="3"/>
        <v>1</v>
      </c>
    </row>
    <row r="101" spans="1:5" x14ac:dyDescent="0.3">
      <c r="A101">
        <v>100.05231388329901</v>
      </c>
      <c r="B101">
        <v>2.0997375328083701</v>
      </c>
      <c r="C101" s="1">
        <f>Params!$B$1+ROUND(Other!A101,0)</f>
        <v>44782</v>
      </c>
      <c r="D101">
        <f t="shared" si="2"/>
        <v>2</v>
      </c>
      <c r="E101" t="b">
        <f t="shared" si="3"/>
        <v>1</v>
      </c>
    </row>
    <row r="102" spans="1:5" x14ac:dyDescent="0.3">
      <c r="A102">
        <v>100.885311871227</v>
      </c>
      <c r="B102">
        <v>1.0498687664042099</v>
      </c>
      <c r="C102" s="1">
        <f>Params!$B$1+ROUND(Other!A102,0)</f>
        <v>44783</v>
      </c>
      <c r="D102">
        <f t="shared" si="2"/>
        <v>1</v>
      </c>
      <c r="E102" t="b">
        <f t="shared" si="3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F53E-A4AF-46B2-A40F-732C54FE6EA1}">
  <dimension ref="A1:D114"/>
  <sheetViews>
    <sheetView topLeftCell="A89" workbookViewId="0">
      <selection activeCell="B114" sqref="B114"/>
    </sheetView>
  </sheetViews>
  <sheetFormatPr defaultRowHeight="14.4" x14ac:dyDescent="0.3"/>
  <cols>
    <col min="3" max="3" width="10.33203125" bestFit="1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3</v>
      </c>
    </row>
    <row r="2" spans="1:4" x14ac:dyDescent="0.3">
      <c r="A2">
        <v>-14.068410462776599</v>
      </c>
      <c r="B2">
        <v>1.0498687664042099</v>
      </c>
      <c r="C2" s="1">
        <f>Params!$B$1+ROUND(Madrid!A2,0)</f>
        <v>44668</v>
      </c>
      <c r="D2">
        <f>ROUND(B2, 0)</f>
        <v>1</v>
      </c>
    </row>
    <row r="3" spans="1:4" x14ac:dyDescent="0.3">
      <c r="A3">
        <v>-13.050301810865101</v>
      </c>
      <c r="B3">
        <v>1.0498687664042099</v>
      </c>
      <c r="C3" s="1">
        <f>Params!$B$1+ROUND(Madrid!A3,0)</f>
        <v>44669</v>
      </c>
      <c r="D3">
        <f t="shared" ref="D3:D69" si="0">ROUND(B3, 0)</f>
        <v>1</v>
      </c>
    </row>
    <row r="4" spans="1:4" x14ac:dyDescent="0.3">
      <c r="A4">
        <v>-9.0704225352112609</v>
      </c>
      <c r="B4">
        <v>1.0498687664042099</v>
      </c>
      <c r="C4" s="1">
        <f>Params!$B$1+ROUND(Madrid!A4,0)</f>
        <v>44673</v>
      </c>
      <c r="D4">
        <f t="shared" si="0"/>
        <v>1</v>
      </c>
    </row>
    <row r="5" spans="1:4" x14ac:dyDescent="0.3">
      <c r="A5">
        <v>-7.9597585513078402</v>
      </c>
      <c r="B5">
        <v>4.1994750656167801</v>
      </c>
      <c r="C5" s="1">
        <f>Params!$B$1+ROUND(Madrid!A5,0)</f>
        <v>44674</v>
      </c>
      <c r="D5">
        <f t="shared" si="0"/>
        <v>4</v>
      </c>
    </row>
    <row r="6" spans="1:4" x14ac:dyDescent="0.3">
      <c r="A6">
        <v>-7.0342052313883299</v>
      </c>
      <c r="B6">
        <v>4.1994750656167801</v>
      </c>
      <c r="C6" s="1">
        <f>Params!$B$1+ROUND(Madrid!A6,0)</f>
        <v>44675</v>
      </c>
      <c r="D6">
        <f t="shared" si="0"/>
        <v>4</v>
      </c>
    </row>
    <row r="7" spans="1:4" x14ac:dyDescent="0.3">
      <c r="A7">
        <v>-6.0160965794768604</v>
      </c>
      <c r="B7">
        <v>1.9685039370078801</v>
      </c>
      <c r="C7" s="1">
        <f>Params!$B$1+ROUND(Madrid!A7,0)</f>
        <v>44676</v>
      </c>
      <c r="D7">
        <f t="shared" si="0"/>
        <v>2</v>
      </c>
    </row>
    <row r="8" spans="1:4" x14ac:dyDescent="0.3">
      <c r="A8">
        <v>-5.0905432595573403</v>
      </c>
      <c r="B8">
        <v>0.91863517060369304</v>
      </c>
      <c r="C8" s="1">
        <f>Params!$B$1+ROUND(Madrid!A8,0)</f>
        <v>44677</v>
      </c>
      <c r="D8">
        <f t="shared" si="0"/>
        <v>1</v>
      </c>
    </row>
    <row r="9" spans="1:4" x14ac:dyDescent="0.3">
      <c r="A9">
        <v>-3.9798792756539201</v>
      </c>
      <c r="B9">
        <v>5.1181102362204696</v>
      </c>
      <c r="C9" s="1">
        <f>Params!$B$1+ROUND(Madrid!A9,0)</f>
        <v>44678</v>
      </c>
      <c r="D9">
        <f t="shared" si="0"/>
        <v>5</v>
      </c>
    </row>
    <row r="10" spans="1:4" x14ac:dyDescent="0.3">
      <c r="A10">
        <v>-2.9617706237424501</v>
      </c>
      <c r="B10">
        <v>1.9685039370078801</v>
      </c>
      <c r="C10" s="1">
        <f>Params!$B$1+ROUND(Madrid!A10,0)</f>
        <v>44679</v>
      </c>
      <c r="D10">
        <f t="shared" si="0"/>
        <v>2</v>
      </c>
    </row>
    <row r="11" spans="1:4" x14ac:dyDescent="0.3">
      <c r="A11">
        <v>-1.94366197183098</v>
      </c>
      <c r="B11">
        <v>1.9685039370078801</v>
      </c>
      <c r="C11" s="1">
        <f>Params!$B$1+ROUND(Madrid!A11,0)</f>
        <v>44680</v>
      </c>
      <c r="D11">
        <f t="shared" si="0"/>
        <v>2</v>
      </c>
    </row>
    <row r="12" spans="1:4" x14ac:dyDescent="0.3">
      <c r="A12">
        <v>-1.0181086519114599</v>
      </c>
      <c r="B12">
        <v>5.1181102362204696</v>
      </c>
      <c r="C12" s="1">
        <f>Params!$B$1+ROUND(Madrid!A12,0)</f>
        <v>44681</v>
      </c>
      <c r="D12">
        <f t="shared" si="0"/>
        <v>5</v>
      </c>
    </row>
    <row r="13" spans="1:4" x14ac:dyDescent="0.3">
      <c r="A13">
        <v>0</v>
      </c>
      <c r="B13">
        <v>6.9553805774278299</v>
      </c>
      <c r="C13" s="1">
        <f>Params!$B$1+ROUND(Madrid!A13,0)</f>
        <v>44682</v>
      </c>
      <c r="D13">
        <f t="shared" si="0"/>
        <v>7</v>
      </c>
    </row>
    <row r="14" spans="1:4" x14ac:dyDescent="0.3">
      <c r="A14">
        <v>1.0181086519114599</v>
      </c>
      <c r="B14">
        <v>6.9553805774278299</v>
      </c>
      <c r="C14" s="1">
        <f>Params!$B$1+ROUND(Madrid!A14,0)</f>
        <v>44683</v>
      </c>
      <c r="D14">
        <f t="shared" si="0"/>
        <v>7</v>
      </c>
    </row>
    <row r="15" spans="1:4" x14ac:dyDescent="0.3">
      <c r="A15">
        <v>2.0362173038229301</v>
      </c>
      <c r="B15">
        <v>10.1049868766404</v>
      </c>
      <c r="C15" s="1">
        <f>Params!$B$1+ROUND(Madrid!A15,0)</f>
        <v>44684</v>
      </c>
      <c r="D15">
        <f t="shared" si="0"/>
        <v>10</v>
      </c>
    </row>
    <row r="16" spans="1:4" x14ac:dyDescent="0.3">
      <c r="A16">
        <v>2.9617706237424501</v>
      </c>
      <c r="B16">
        <v>6.9553805774278299</v>
      </c>
      <c r="C16" s="1">
        <f>Params!$B$1+ROUND(Madrid!A16,0)</f>
        <v>44685</v>
      </c>
      <c r="D16">
        <f t="shared" si="0"/>
        <v>7</v>
      </c>
    </row>
    <row r="17" spans="1:4" x14ac:dyDescent="0.3">
      <c r="A17">
        <v>3.9798792756539201</v>
      </c>
      <c r="B17">
        <v>4.0682414698162503</v>
      </c>
      <c r="C17" s="1">
        <f>Params!$B$1+ROUND(Madrid!A17,0)</f>
        <v>44686</v>
      </c>
      <c r="D17">
        <f t="shared" si="0"/>
        <v>4</v>
      </c>
    </row>
    <row r="18" spans="1:4" x14ac:dyDescent="0.3">
      <c r="A18">
        <v>4.99798792756539</v>
      </c>
      <c r="B18">
        <v>9.9737532808398992</v>
      </c>
      <c r="C18" s="1">
        <f>Params!$B$1+ROUND(Madrid!A18,0)</f>
        <v>44687</v>
      </c>
      <c r="D18">
        <f t="shared" si="0"/>
        <v>10</v>
      </c>
    </row>
    <row r="19" spans="1:4" x14ac:dyDescent="0.3">
      <c r="A19">
        <v>6.0160965794768604</v>
      </c>
      <c r="B19">
        <v>10.2362204724409</v>
      </c>
      <c r="C19" s="1">
        <f>Params!$B$1+ROUND(Madrid!A19,0)</f>
        <v>44688</v>
      </c>
      <c r="D19">
        <f t="shared" si="0"/>
        <v>10</v>
      </c>
    </row>
    <row r="20" spans="1:4" x14ac:dyDescent="0.3">
      <c r="A20">
        <v>7.0342052313883299</v>
      </c>
      <c r="B20">
        <v>8.0052493438320198</v>
      </c>
      <c r="C20" s="1">
        <f>Params!$B$1+ROUND(Madrid!A20,0)</f>
        <v>44689</v>
      </c>
      <c r="D20">
        <f t="shared" si="0"/>
        <v>8</v>
      </c>
    </row>
    <row r="21" spans="1:4" x14ac:dyDescent="0.3">
      <c r="A21">
        <v>8.0523138832997994</v>
      </c>
      <c r="B21">
        <v>8.9238845144356809</v>
      </c>
      <c r="C21" s="1">
        <f>Params!$B$1+ROUND(Madrid!A21,0)</f>
        <v>44690</v>
      </c>
      <c r="D21">
        <f t="shared" si="0"/>
        <v>9</v>
      </c>
    </row>
    <row r="22" spans="1:4" x14ac:dyDescent="0.3">
      <c r="A22">
        <v>8.9778672032193096</v>
      </c>
      <c r="B22">
        <v>17.191601049868702</v>
      </c>
      <c r="C22" s="1">
        <f>Params!$B$1+ROUND(Madrid!A22,0)</f>
        <v>44691</v>
      </c>
      <c r="D22">
        <f t="shared" si="0"/>
        <v>17</v>
      </c>
    </row>
    <row r="23" spans="1:4" x14ac:dyDescent="0.3">
      <c r="A23">
        <v>9.8108651911468794</v>
      </c>
      <c r="B23">
        <v>12.0734908136483</v>
      </c>
      <c r="C23" s="1">
        <f>Params!$B$1+ROUND(Madrid!A23,0)</f>
        <v>44692</v>
      </c>
      <c r="D23">
        <f t="shared" ref="D23" si="1">ROUND(B23, 0)</f>
        <v>12</v>
      </c>
    </row>
    <row r="24" spans="1:4" x14ac:dyDescent="0.3">
      <c r="A24">
        <v>11.014084507042201</v>
      </c>
      <c r="B24">
        <v>16.141732283464499</v>
      </c>
      <c r="C24" s="1">
        <f>Params!$B$1+ROUND(Madrid!A24,0)</f>
        <v>44693</v>
      </c>
      <c r="D24">
        <f t="shared" si="0"/>
        <v>16</v>
      </c>
    </row>
    <row r="25" spans="1:4" x14ac:dyDescent="0.3">
      <c r="A25">
        <v>12.032193158953699</v>
      </c>
      <c r="B25">
        <v>16.141732283464499</v>
      </c>
      <c r="C25" s="1">
        <f>Params!$B$1+ROUND(Madrid!A25,0)</f>
        <v>44694</v>
      </c>
      <c r="D25">
        <f t="shared" si="0"/>
        <v>16</v>
      </c>
    </row>
    <row r="26" spans="1:4" x14ac:dyDescent="0.3">
      <c r="A26">
        <v>12.957746478873201</v>
      </c>
      <c r="B26">
        <v>16.141732283464499</v>
      </c>
      <c r="C26" s="1">
        <f>Params!$B$1+ROUND(Madrid!A26,0)</f>
        <v>44695</v>
      </c>
      <c r="D26">
        <f t="shared" si="0"/>
        <v>16</v>
      </c>
    </row>
    <row r="27" spans="1:4" x14ac:dyDescent="0.3">
      <c r="A27">
        <v>14.068410462776599</v>
      </c>
      <c r="B27">
        <v>8.1364829396325398</v>
      </c>
      <c r="C27" s="1">
        <f>Params!$B$1+ROUND(Madrid!A27,0)</f>
        <v>44696</v>
      </c>
      <c r="D27">
        <f t="shared" ref="D27" si="2">ROUND(B27, 0)</f>
        <v>8</v>
      </c>
    </row>
    <row r="28" spans="1:4" x14ac:dyDescent="0.3">
      <c r="A28">
        <v>15.17907444668</v>
      </c>
      <c r="B28">
        <v>23.228346456692901</v>
      </c>
      <c r="C28" s="1">
        <f>Params!$B$1+ROUND(Madrid!A28,0)</f>
        <v>44697</v>
      </c>
      <c r="D28">
        <f t="shared" si="0"/>
        <v>23</v>
      </c>
    </row>
    <row r="29" spans="1:4" x14ac:dyDescent="0.3">
      <c r="A29">
        <v>16.0120724346076</v>
      </c>
      <c r="B29">
        <v>8.9238845144356809</v>
      </c>
      <c r="C29" s="1">
        <f>Params!$B$1+ROUND(Madrid!A29,0)</f>
        <v>44698</v>
      </c>
      <c r="D29">
        <f t="shared" si="0"/>
        <v>9</v>
      </c>
    </row>
    <row r="30" spans="1:4" x14ac:dyDescent="0.3">
      <c r="A30">
        <v>17.0301810865191</v>
      </c>
      <c r="B30">
        <v>14.9606299212598</v>
      </c>
      <c r="C30" s="1">
        <f>Params!$B$1+ROUND(Madrid!A30,0)</f>
        <v>44699</v>
      </c>
      <c r="D30">
        <f t="shared" si="0"/>
        <v>15</v>
      </c>
    </row>
    <row r="31" spans="1:4" x14ac:dyDescent="0.3">
      <c r="A31">
        <v>17.955734406438602</v>
      </c>
      <c r="B31">
        <v>14.0419947506561</v>
      </c>
      <c r="C31" s="1">
        <f>Params!$B$1+ROUND(Madrid!A31,0)</f>
        <v>44700</v>
      </c>
      <c r="D31">
        <f t="shared" si="0"/>
        <v>14</v>
      </c>
    </row>
    <row r="32" spans="1:4" x14ac:dyDescent="0.3">
      <c r="A32">
        <v>18.973843058350099</v>
      </c>
      <c r="B32">
        <v>12.204724409448801</v>
      </c>
      <c r="C32" s="1">
        <f>Params!$B$1+ROUND(Madrid!A32,0)</f>
        <v>44701</v>
      </c>
      <c r="D32">
        <f t="shared" si="0"/>
        <v>12</v>
      </c>
    </row>
    <row r="33" spans="1:4" x14ac:dyDescent="0.3">
      <c r="A33">
        <v>19.9919517102615</v>
      </c>
      <c r="B33">
        <v>17.191601049868702</v>
      </c>
      <c r="C33" s="1">
        <f>Params!$B$1+ROUND(Madrid!A33,0)</f>
        <v>44702</v>
      </c>
      <c r="D33">
        <f t="shared" si="0"/>
        <v>17</v>
      </c>
    </row>
    <row r="34" spans="1:4" x14ac:dyDescent="0.3">
      <c r="A34">
        <v>21.010060362173</v>
      </c>
      <c r="B34">
        <v>29.002624671915999</v>
      </c>
      <c r="C34" s="1">
        <f>Params!$B$1+ROUND(Madrid!A34,0)</f>
        <v>44703</v>
      </c>
      <c r="D34">
        <f t="shared" si="0"/>
        <v>29</v>
      </c>
    </row>
    <row r="35" spans="1:4" x14ac:dyDescent="0.3">
      <c r="A35">
        <v>22.028169014084501</v>
      </c>
      <c r="B35">
        <v>44.0944881889763</v>
      </c>
      <c r="C35" s="1">
        <f>Params!$B$1+ROUND(Madrid!A35,0)</f>
        <v>44704</v>
      </c>
      <c r="D35">
        <f t="shared" si="0"/>
        <v>44</v>
      </c>
    </row>
    <row r="36" spans="1:4" x14ac:dyDescent="0.3">
      <c r="A36">
        <v>23.046277665995898</v>
      </c>
      <c r="B36">
        <v>27.0341207349081</v>
      </c>
      <c r="C36" s="1">
        <f>Params!$B$1+ROUND(Madrid!A36,0)</f>
        <v>44705</v>
      </c>
      <c r="D36">
        <f t="shared" si="0"/>
        <v>27</v>
      </c>
    </row>
    <row r="37" spans="1:4" x14ac:dyDescent="0.3">
      <c r="A37">
        <v>23.971830985915499</v>
      </c>
      <c r="B37">
        <v>35.039370078740099</v>
      </c>
      <c r="C37" s="1">
        <f>Params!$B$1+ROUND(Madrid!A37,0)</f>
        <v>44706</v>
      </c>
      <c r="D37">
        <f t="shared" si="0"/>
        <v>35</v>
      </c>
    </row>
    <row r="38" spans="1:4" x14ac:dyDescent="0.3">
      <c r="A38">
        <v>24.9899396378269</v>
      </c>
      <c r="B38">
        <v>20.209973753280799</v>
      </c>
      <c r="C38" s="1">
        <f>Params!$B$1+ROUND(Madrid!A38,0)</f>
        <v>44707</v>
      </c>
      <c r="D38">
        <f t="shared" si="0"/>
        <v>20</v>
      </c>
    </row>
    <row r="39" spans="1:4" x14ac:dyDescent="0.3">
      <c r="A39">
        <v>26.008048289738401</v>
      </c>
      <c r="B39">
        <v>28.083989501312299</v>
      </c>
      <c r="C39" s="1">
        <f>Params!$B$1+ROUND(Madrid!A39,0)</f>
        <v>44708</v>
      </c>
      <c r="D39">
        <f t="shared" si="0"/>
        <v>28</v>
      </c>
    </row>
    <row r="40" spans="1:4" x14ac:dyDescent="0.3">
      <c r="A40">
        <v>26.933601609657899</v>
      </c>
      <c r="B40">
        <v>32.152230971128603</v>
      </c>
      <c r="C40" s="1">
        <f>Params!$B$1+ROUND(Madrid!A40,0)</f>
        <v>44709</v>
      </c>
      <c r="D40">
        <f t="shared" si="0"/>
        <v>32</v>
      </c>
    </row>
    <row r="41" spans="1:4" x14ac:dyDescent="0.3">
      <c r="A41">
        <v>27.951710261569399</v>
      </c>
      <c r="B41">
        <v>36.089238845144301</v>
      </c>
      <c r="C41" s="1">
        <f>Params!$B$1+ROUND(Madrid!A41,0)</f>
        <v>44710</v>
      </c>
      <c r="D41">
        <f t="shared" si="0"/>
        <v>36</v>
      </c>
    </row>
    <row r="42" spans="1:4" x14ac:dyDescent="0.3">
      <c r="A42">
        <v>29.0623742454728</v>
      </c>
      <c r="B42">
        <v>31.233595800524899</v>
      </c>
      <c r="C42" s="1">
        <f>Params!$B$1+ROUND(Madrid!A42,0)</f>
        <v>44711</v>
      </c>
      <c r="D42">
        <f t="shared" si="0"/>
        <v>31</v>
      </c>
    </row>
    <row r="43" spans="1:4" x14ac:dyDescent="0.3">
      <c r="A43">
        <v>30.0804828973843</v>
      </c>
      <c r="B43">
        <v>36.089238845144301</v>
      </c>
      <c r="C43" s="1">
        <f>Params!$B$1+ROUND(Madrid!A43,0)</f>
        <v>44712</v>
      </c>
      <c r="D43">
        <f t="shared" si="0"/>
        <v>36</v>
      </c>
    </row>
    <row r="44" spans="1:4" x14ac:dyDescent="0.3">
      <c r="A44">
        <v>30.913480885311799</v>
      </c>
      <c r="B44">
        <v>36.089238845144301</v>
      </c>
      <c r="C44" s="1">
        <f>Params!$B$1+ROUND(Madrid!A44,0)</f>
        <v>44713</v>
      </c>
      <c r="D44">
        <f t="shared" si="0"/>
        <v>36</v>
      </c>
    </row>
    <row r="45" spans="1:4" x14ac:dyDescent="0.3">
      <c r="A45">
        <v>31.931589537223299</v>
      </c>
      <c r="B45">
        <v>36.089238845144301</v>
      </c>
      <c r="C45" s="1">
        <f>Params!$B$1+ROUND(Madrid!A45,0)</f>
        <v>44714</v>
      </c>
      <c r="D45">
        <f t="shared" si="0"/>
        <v>36</v>
      </c>
    </row>
    <row r="46" spans="1:4" x14ac:dyDescent="0.3">
      <c r="A46">
        <v>32.9496981891348</v>
      </c>
      <c r="B46">
        <v>42.125984251968497</v>
      </c>
      <c r="C46" s="1">
        <f>Params!$B$1+ROUND(Madrid!A46,0)</f>
        <v>44715</v>
      </c>
      <c r="D46">
        <f t="shared" ref="D46:D47" si="3">ROUND(B46, 0)</f>
        <v>42</v>
      </c>
    </row>
    <row r="47" spans="1:4" x14ac:dyDescent="0.3">
      <c r="A47">
        <v>33.967806841046198</v>
      </c>
      <c r="B47">
        <v>56.167979002624598</v>
      </c>
      <c r="C47" s="1">
        <f>Params!$B$1+ROUND(Madrid!A47,0)</f>
        <v>44716</v>
      </c>
      <c r="D47">
        <f t="shared" si="3"/>
        <v>56</v>
      </c>
    </row>
    <row r="48" spans="1:4" x14ac:dyDescent="0.3">
      <c r="A48">
        <v>34.893360160965798</v>
      </c>
      <c r="B48">
        <v>30.052493438320202</v>
      </c>
      <c r="C48" s="1">
        <f>Params!$B$1+ROUND(Madrid!A48,0)</f>
        <v>44717</v>
      </c>
      <c r="D48">
        <f t="shared" si="0"/>
        <v>30</v>
      </c>
    </row>
    <row r="49" spans="1:4" x14ac:dyDescent="0.3">
      <c r="A49">
        <v>36.004024144869199</v>
      </c>
      <c r="B49">
        <v>40.9448818897637</v>
      </c>
      <c r="C49" s="1">
        <f>Params!$B$1+ROUND(Madrid!A49,0)</f>
        <v>44718</v>
      </c>
      <c r="D49">
        <f t="shared" si="0"/>
        <v>41</v>
      </c>
    </row>
    <row r="50" spans="1:4" x14ac:dyDescent="0.3">
      <c r="A50">
        <v>37.022132796780603</v>
      </c>
      <c r="B50">
        <v>52.099737532808398</v>
      </c>
      <c r="C50" s="1">
        <f>Params!$B$1+ROUND(Madrid!A50,0)</f>
        <v>44719</v>
      </c>
      <c r="D50">
        <f t="shared" si="0"/>
        <v>52</v>
      </c>
    </row>
    <row r="51" spans="1:4" x14ac:dyDescent="0.3">
      <c r="A51">
        <v>37.947686116700197</v>
      </c>
      <c r="B51">
        <v>54.855643044619399</v>
      </c>
      <c r="C51" s="1">
        <f>Params!$B$1+ROUND(Madrid!A51,0)</f>
        <v>44720</v>
      </c>
      <c r="D51">
        <f t="shared" si="0"/>
        <v>55</v>
      </c>
    </row>
    <row r="52" spans="1:4" x14ac:dyDescent="0.3">
      <c r="A52">
        <v>38.965794768611602</v>
      </c>
      <c r="B52">
        <v>47.112860892388397</v>
      </c>
      <c r="C52" s="1">
        <f>Params!$B$1+ROUND(Madrid!A52,0)</f>
        <v>44721</v>
      </c>
      <c r="D52">
        <f t="shared" si="0"/>
        <v>47</v>
      </c>
    </row>
    <row r="53" spans="1:4" x14ac:dyDescent="0.3">
      <c r="A53">
        <v>39.983903420523099</v>
      </c>
      <c r="B53">
        <v>54.986876640419901</v>
      </c>
      <c r="C53" s="1">
        <f>Params!$B$1+ROUND(Madrid!A53,0)</f>
        <v>44722</v>
      </c>
      <c r="D53">
        <f t="shared" si="0"/>
        <v>55</v>
      </c>
    </row>
    <row r="54" spans="1:4" x14ac:dyDescent="0.3">
      <c r="A54">
        <v>40.9094567404426</v>
      </c>
      <c r="B54">
        <v>62.073490813648199</v>
      </c>
      <c r="C54" s="1">
        <f>Params!$B$1+ROUND(Madrid!A54,0)</f>
        <v>44723</v>
      </c>
      <c r="D54">
        <f t="shared" si="0"/>
        <v>62</v>
      </c>
    </row>
    <row r="55" spans="1:4" x14ac:dyDescent="0.3">
      <c r="A55">
        <v>42.020120724346</v>
      </c>
      <c r="B55">
        <v>60.104986876640403</v>
      </c>
      <c r="C55" s="1">
        <f>Params!$B$1+ROUND(Madrid!A55,0)</f>
        <v>44724</v>
      </c>
      <c r="D55">
        <f t="shared" si="0"/>
        <v>60</v>
      </c>
    </row>
    <row r="56" spans="1:4" x14ac:dyDescent="0.3">
      <c r="A56">
        <v>43.038229376257497</v>
      </c>
      <c r="B56">
        <v>59.055118110236201</v>
      </c>
      <c r="C56" s="1">
        <f>Params!$B$1+ROUND(Madrid!A56,0)</f>
        <v>44725</v>
      </c>
      <c r="D56">
        <f t="shared" si="0"/>
        <v>59</v>
      </c>
    </row>
    <row r="57" spans="1:4" x14ac:dyDescent="0.3">
      <c r="A57">
        <v>43.963782696176999</v>
      </c>
      <c r="B57">
        <v>54.068241469816201</v>
      </c>
      <c r="C57" s="1">
        <f>Params!$B$1+ROUND(Madrid!A57,0)</f>
        <v>44726</v>
      </c>
      <c r="D57">
        <f t="shared" si="0"/>
        <v>54</v>
      </c>
    </row>
    <row r="58" spans="1:4" x14ac:dyDescent="0.3">
      <c r="A58">
        <v>44.8893360160965</v>
      </c>
      <c r="B58">
        <v>54.068241469816201</v>
      </c>
      <c r="C58" s="1">
        <f>Params!$B$1+ROUND(Madrid!A58,0)</f>
        <v>44727</v>
      </c>
      <c r="D58">
        <f t="shared" si="0"/>
        <v>54</v>
      </c>
    </row>
    <row r="59" spans="1:4" x14ac:dyDescent="0.3">
      <c r="A59">
        <v>45.907444668007997</v>
      </c>
      <c r="B59">
        <v>54.068241469816201</v>
      </c>
      <c r="C59" s="1">
        <f>Params!$B$1+ROUND(Madrid!A59,0)</f>
        <v>44728</v>
      </c>
      <c r="D59">
        <f t="shared" si="0"/>
        <v>54</v>
      </c>
    </row>
    <row r="60" spans="1:4" x14ac:dyDescent="0.3">
      <c r="A60">
        <v>47.018108651911398</v>
      </c>
      <c r="B60">
        <v>57.217847769028801</v>
      </c>
      <c r="C60" s="1">
        <f>Params!$B$1+ROUND(Madrid!A60,0)</f>
        <v>44729</v>
      </c>
      <c r="D60">
        <f t="shared" si="0"/>
        <v>57</v>
      </c>
    </row>
    <row r="61" spans="1:4" x14ac:dyDescent="0.3">
      <c r="A61">
        <v>47.943661971830899</v>
      </c>
      <c r="B61">
        <v>60.104986876640403</v>
      </c>
      <c r="C61" s="1">
        <f>Params!$B$1+ROUND(Madrid!A61,0)</f>
        <v>44730</v>
      </c>
      <c r="D61">
        <f t="shared" si="0"/>
        <v>60</v>
      </c>
    </row>
    <row r="62" spans="1:4" x14ac:dyDescent="0.3">
      <c r="A62">
        <v>48.961770623742403</v>
      </c>
      <c r="B62">
        <v>71.128608923884499</v>
      </c>
      <c r="C62" s="1">
        <f>Params!$B$1+ROUND(Madrid!A62,0)</f>
        <v>44731</v>
      </c>
      <c r="D62">
        <f t="shared" si="0"/>
        <v>71</v>
      </c>
    </row>
    <row r="63" spans="1:4" x14ac:dyDescent="0.3">
      <c r="A63">
        <v>49.9798792756539</v>
      </c>
      <c r="B63">
        <v>51.181102362204697</v>
      </c>
      <c r="C63" s="1">
        <f>Params!$B$1+ROUND(Madrid!A63,0)</f>
        <v>44732</v>
      </c>
      <c r="D63">
        <f t="shared" si="0"/>
        <v>51</v>
      </c>
    </row>
    <row r="64" spans="1:4" x14ac:dyDescent="0.3">
      <c r="A64">
        <v>50.997987927565397</v>
      </c>
      <c r="B64">
        <v>62.073490813648199</v>
      </c>
      <c r="C64" s="1">
        <f>Params!$B$1+ROUND(Madrid!A64,0)</f>
        <v>44733</v>
      </c>
      <c r="D64">
        <f t="shared" si="0"/>
        <v>62</v>
      </c>
    </row>
    <row r="65" spans="1:4" x14ac:dyDescent="0.3">
      <c r="A65">
        <v>51.923541247484899</v>
      </c>
      <c r="B65">
        <v>75.065616797900205</v>
      </c>
      <c r="C65" s="1">
        <f>Params!$B$1+ROUND(Madrid!A65,0)</f>
        <v>44734</v>
      </c>
      <c r="D65">
        <f t="shared" si="0"/>
        <v>75</v>
      </c>
    </row>
    <row r="66" spans="1:4" x14ac:dyDescent="0.3">
      <c r="A66">
        <v>53.034205231388299</v>
      </c>
      <c r="B66">
        <v>51.181102362204697</v>
      </c>
      <c r="C66" s="1">
        <f>Params!$B$1+ROUND(Madrid!A66,0)</f>
        <v>44735</v>
      </c>
      <c r="D66">
        <f t="shared" si="0"/>
        <v>51</v>
      </c>
    </row>
    <row r="67" spans="1:4" x14ac:dyDescent="0.3">
      <c r="A67">
        <v>53.9597585513078</v>
      </c>
      <c r="B67">
        <v>54.068241469816201</v>
      </c>
      <c r="C67" s="1">
        <f>Params!$B$1+ROUND(Madrid!A67,0)</f>
        <v>44736</v>
      </c>
      <c r="D67">
        <f t="shared" si="0"/>
        <v>54</v>
      </c>
    </row>
    <row r="68" spans="1:4" x14ac:dyDescent="0.3">
      <c r="A68">
        <v>54.977867203219297</v>
      </c>
      <c r="B68">
        <v>84.120734908136399</v>
      </c>
      <c r="C68" s="1">
        <f>Params!$B$1+ROUND(Madrid!A68,0)</f>
        <v>44737</v>
      </c>
      <c r="D68">
        <f t="shared" si="0"/>
        <v>84</v>
      </c>
    </row>
    <row r="69" spans="1:4" x14ac:dyDescent="0.3">
      <c r="A69">
        <v>55.995975855130702</v>
      </c>
      <c r="B69">
        <v>81.1023622047244</v>
      </c>
      <c r="C69" s="1">
        <f>Params!$B$1+ROUND(Madrid!A69,0)</f>
        <v>44738</v>
      </c>
      <c r="D69">
        <f t="shared" si="0"/>
        <v>81</v>
      </c>
    </row>
    <row r="70" spans="1:4" x14ac:dyDescent="0.3">
      <c r="A70">
        <v>57.014084507042199</v>
      </c>
      <c r="B70">
        <v>68.8976377952755</v>
      </c>
      <c r="C70" s="1">
        <f>Params!$B$1+ROUND(Madrid!A70,0)</f>
        <v>44739</v>
      </c>
      <c r="D70">
        <f t="shared" ref="D70:D114" si="4">ROUND(B70, 0)</f>
        <v>69</v>
      </c>
    </row>
    <row r="71" spans="1:4" x14ac:dyDescent="0.3">
      <c r="A71">
        <v>58.032193158953703</v>
      </c>
      <c r="B71">
        <v>82.152230971128603</v>
      </c>
      <c r="C71" s="1">
        <f>Params!$B$1+ROUND(Madrid!A71,0)</f>
        <v>44740</v>
      </c>
      <c r="D71">
        <f t="shared" si="4"/>
        <v>82</v>
      </c>
    </row>
    <row r="72" spans="1:4" x14ac:dyDescent="0.3">
      <c r="A72">
        <v>59.0503018108652</v>
      </c>
      <c r="B72">
        <v>67.060367454068199</v>
      </c>
      <c r="C72" s="1">
        <f>Params!$B$1+ROUND(Madrid!A72,0)</f>
        <v>44741</v>
      </c>
      <c r="D72">
        <f t="shared" si="4"/>
        <v>67</v>
      </c>
    </row>
    <row r="73" spans="1:4" x14ac:dyDescent="0.3">
      <c r="A73">
        <v>60.068410462776598</v>
      </c>
      <c r="B73">
        <v>46.062992125984202</v>
      </c>
      <c r="C73" s="1">
        <f>Params!$B$1+ROUND(Madrid!A73,0)</f>
        <v>44742</v>
      </c>
      <c r="D73">
        <f t="shared" si="4"/>
        <v>46</v>
      </c>
    </row>
    <row r="74" spans="1:4" x14ac:dyDescent="0.3">
      <c r="A74">
        <v>60.993963782696099</v>
      </c>
      <c r="B74">
        <v>77.165354330708595</v>
      </c>
      <c r="C74" s="1">
        <f>Params!$B$1+ROUND(Madrid!A74,0)</f>
        <v>44743</v>
      </c>
      <c r="D74">
        <f t="shared" si="4"/>
        <v>77</v>
      </c>
    </row>
    <row r="75" spans="1:4" x14ac:dyDescent="0.3">
      <c r="A75">
        <v>62.012072434607603</v>
      </c>
      <c r="B75">
        <v>89.107611548556406</v>
      </c>
      <c r="C75" s="1">
        <f>Params!$B$1+ROUND(Madrid!A75,0)</f>
        <v>44744</v>
      </c>
      <c r="D75">
        <f t="shared" si="4"/>
        <v>89</v>
      </c>
    </row>
    <row r="76" spans="1:4" x14ac:dyDescent="0.3">
      <c r="A76">
        <v>62.937625754527097</v>
      </c>
      <c r="B76">
        <v>82.020997375327994</v>
      </c>
      <c r="C76" s="1">
        <f>Params!$B$1+ROUND(Madrid!A76,0)</f>
        <v>44745</v>
      </c>
      <c r="D76">
        <f t="shared" si="4"/>
        <v>82</v>
      </c>
    </row>
    <row r="77" spans="1:4" x14ac:dyDescent="0.3">
      <c r="A77">
        <v>63.955734406438602</v>
      </c>
      <c r="B77">
        <v>69.028871391076095</v>
      </c>
      <c r="C77" s="1">
        <f>Params!$B$1+ROUND(Madrid!A77,0)</f>
        <v>44746</v>
      </c>
      <c r="D77">
        <f t="shared" si="4"/>
        <v>69</v>
      </c>
    </row>
    <row r="78" spans="1:4" x14ac:dyDescent="0.3">
      <c r="A78">
        <v>64.973843058350099</v>
      </c>
      <c r="B78">
        <v>76.115485564304393</v>
      </c>
      <c r="C78" s="1">
        <f>Params!$B$1+ROUND(Madrid!A78,0)</f>
        <v>44747</v>
      </c>
      <c r="D78">
        <f t="shared" si="4"/>
        <v>76</v>
      </c>
    </row>
    <row r="79" spans="1:4" x14ac:dyDescent="0.3">
      <c r="A79">
        <v>65.991951710261503</v>
      </c>
      <c r="B79">
        <v>91.994750656167895</v>
      </c>
      <c r="C79" s="1">
        <f>Params!$B$1+ROUND(Madrid!A79,0)</f>
        <v>44748</v>
      </c>
      <c r="D79">
        <f t="shared" si="4"/>
        <v>92</v>
      </c>
    </row>
    <row r="80" spans="1:4" x14ac:dyDescent="0.3">
      <c r="A80">
        <v>67.010060362172993</v>
      </c>
      <c r="B80">
        <v>73.097112860892395</v>
      </c>
      <c r="C80" s="1">
        <f>Params!$B$1+ROUND(Madrid!A80,0)</f>
        <v>44749</v>
      </c>
      <c r="D80">
        <f t="shared" si="4"/>
        <v>73</v>
      </c>
    </row>
    <row r="81" spans="1:4" x14ac:dyDescent="0.3">
      <c r="A81">
        <v>68.028169014084497</v>
      </c>
      <c r="B81">
        <v>54.068241469816201</v>
      </c>
      <c r="C81" s="1">
        <f>Params!$B$1+ROUND(Madrid!A81,0)</f>
        <v>44750</v>
      </c>
      <c r="D81">
        <f t="shared" si="4"/>
        <v>54</v>
      </c>
    </row>
    <row r="82" spans="1:4" x14ac:dyDescent="0.3">
      <c r="A82">
        <v>68.953722334003999</v>
      </c>
      <c r="B82">
        <v>76.115485564304393</v>
      </c>
      <c r="C82" s="1">
        <f>Params!$B$1+ROUND(Madrid!A82,0)</f>
        <v>44751</v>
      </c>
      <c r="D82">
        <f t="shared" si="4"/>
        <v>76</v>
      </c>
    </row>
    <row r="83" spans="1:4" x14ac:dyDescent="0.3">
      <c r="A83">
        <v>69.971830985915503</v>
      </c>
      <c r="B83">
        <v>70.078740157480297</v>
      </c>
      <c r="C83" s="1">
        <f>Params!$B$1+ROUND(Madrid!A83,0)</f>
        <v>44752</v>
      </c>
      <c r="D83">
        <f t="shared" si="4"/>
        <v>70</v>
      </c>
    </row>
    <row r="84" spans="1:4" x14ac:dyDescent="0.3">
      <c r="A84">
        <v>70.989939637826893</v>
      </c>
      <c r="B84">
        <v>99.212598425196802</v>
      </c>
      <c r="C84" s="1">
        <f>Params!$B$1+ROUND(Madrid!A84,0)</f>
        <v>44753</v>
      </c>
      <c r="D84">
        <f t="shared" si="4"/>
        <v>99</v>
      </c>
    </row>
    <row r="85" spans="1:4" x14ac:dyDescent="0.3">
      <c r="A85">
        <v>71.915492957746494</v>
      </c>
      <c r="B85">
        <v>63.254593175853003</v>
      </c>
      <c r="C85" s="1">
        <f>Params!$B$1+ROUND(Madrid!A85,0)</f>
        <v>44754</v>
      </c>
      <c r="D85">
        <f t="shared" si="4"/>
        <v>63</v>
      </c>
    </row>
    <row r="86" spans="1:4" x14ac:dyDescent="0.3">
      <c r="A86">
        <v>72.933601609657899</v>
      </c>
      <c r="B86">
        <v>83.989501312335904</v>
      </c>
      <c r="C86" s="1">
        <f>Params!$B$1+ROUND(Madrid!A86,0)</f>
        <v>44755</v>
      </c>
      <c r="D86">
        <f t="shared" si="4"/>
        <v>84</v>
      </c>
    </row>
    <row r="87" spans="1:4" x14ac:dyDescent="0.3">
      <c r="A87">
        <v>73.951710261569403</v>
      </c>
      <c r="B87">
        <v>68.8976377952755</v>
      </c>
      <c r="C87" s="1">
        <f>Params!$B$1+ROUND(Madrid!A87,0)</f>
        <v>44756</v>
      </c>
      <c r="D87">
        <f t="shared" si="4"/>
        <v>69</v>
      </c>
    </row>
    <row r="88" spans="1:4" x14ac:dyDescent="0.3">
      <c r="A88">
        <v>74.969818913480793</v>
      </c>
      <c r="B88">
        <v>68.110236220472402</v>
      </c>
      <c r="C88" s="1">
        <f>Params!$B$1+ROUND(Madrid!A88,0)</f>
        <v>44757</v>
      </c>
      <c r="D88">
        <f t="shared" si="4"/>
        <v>68</v>
      </c>
    </row>
    <row r="89" spans="1:4" x14ac:dyDescent="0.3">
      <c r="A89">
        <v>75.895372233400394</v>
      </c>
      <c r="B89">
        <v>83.989501312335904</v>
      </c>
      <c r="C89" s="1">
        <f>Params!$B$1+ROUND(Madrid!A89,0)</f>
        <v>44758</v>
      </c>
      <c r="D89">
        <f t="shared" si="4"/>
        <v>84</v>
      </c>
    </row>
    <row r="90" spans="1:4" x14ac:dyDescent="0.3">
      <c r="A90">
        <v>76.913480885311799</v>
      </c>
      <c r="B90">
        <v>60.104986876640403</v>
      </c>
      <c r="C90" s="1">
        <f>Params!$B$1+ROUND(Madrid!A90,0)</f>
        <v>44759</v>
      </c>
      <c r="D90">
        <f t="shared" si="4"/>
        <v>60</v>
      </c>
    </row>
    <row r="91" spans="1:4" x14ac:dyDescent="0.3">
      <c r="A91">
        <v>78.024144869215306</v>
      </c>
      <c r="B91">
        <v>60.104986876640403</v>
      </c>
      <c r="C91" s="1">
        <f>Params!$B$1+ROUND(Madrid!A91,0)</f>
        <v>44760</v>
      </c>
      <c r="D91">
        <f t="shared" si="4"/>
        <v>60</v>
      </c>
    </row>
    <row r="92" spans="1:4" x14ac:dyDescent="0.3">
      <c r="A92">
        <v>78.857142857142804</v>
      </c>
      <c r="B92">
        <v>65.091863517060304</v>
      </c>
      <c r="C92" s="1">
        <f>Params!$B$1+ROUND(Madrid!A92,0)</f>
        <v>44761</v>
      </c>
      <c r="D92">
        <f t="shared" si="4"/>
        <v>65</v>
      </c>
    </row>
    <row r="93" spans="1:4" x14ac:dyDescent="0.3">
      <c r="A93">
        <v>79.875251509054294</v>
      </c>
      <c r="B93">
        <v>45.144356955380502</v>
      </c>
      <c r="C93" s="1">
        <f>Params!$B$1+ROUND(Madrid!A93,0)</f>
        <v>44762</v>
      </c>
      <c r="D93">
        <f t="shared" si="4"/>
        <v>45</v>
      </c>
    </row>
    <row r="94" spans="1:4" x14ac:dyDescent="0.3">
      <c r="A94">
        <v>80.893360160965798</v>
      </c>
      <c r="B94">
        <v>48.031496062992098</v>
      </c>
      <c r="C94" s="1">
        <f>Params!$B$1+ROUND(Madrid!A94,0)</f>
        <v>44763</v>
      </c>
      <c r="D94">
        <f t="shared" si="4"/>
        <v>48</v>
      </c>
    </row>
    <row r="95" spans="1:4" x14ac:dyDescent="0.3">
      <c r="A95">
        <v>81.911468812877203</v>
      </c>
      <c r="B95">
        <v>43.044619422572097</v>
      </c>
      <c r="C95" s="1">
        <f>Params!$B$1+ROUND(Madrid!A95,0)</f>
        <v>44764</v>
      </c>
      <c r="D95">
        <f t="shared" si="4"/>
        <v>43</v>
      </c>
    </row>
    <row r="96" spans="1:4" x14ac:dyDescent="0.3">
      <c r="A96">
        <v>83.022132796780696</v>
      </c>
      <c r="B96">
        <v>80.052493438320198</v>
      </c>
      <c r="C96" s="1">
        <f>Params!$B$1+ROUND(Madrid!A96,0)</f>
        <v>44765</v>
      </c>
      <c r="D96">
        <f t="shared" si="4"/>
        <v>80</v>
      </c>
    </row>
    <row r="97" spans="1:4" x14ac:dyDescent="0.3">
      <c r="A97">
        <v>83.947686116700197</v>
      </c>
      <c r="B97">
        <v>59.055118110236201</v>
      </c>
      <c r="C97" s="1">
        <f>Params!$B$1+ROUND(Madrid!A97,0)</f>
        <v>44766</v>
      </c>
      <c r="D97">
        <f t="shared" si="4"/>
        <v>59</v>
      </c>
    </row>
    <row r="98" spans="1:4" x14ac:dyDescent="0.3">
      <c r="A98">
        <v>84.965794768611602</v>
      </c>
      <c r="B98">
        <v>58.005249343831998</v>
      </c>
      <c r="C98" s="1">
        <f>Params!$B$1+ROUND(Madrid!A98,0)</f>
        <v>44767</v>
      </c>
      <c r="D98">
        <f t="shared" si="4"/>
        <v>58</v>
      </c>
    </row>
    <row r="99" spans="1:4" x14ac:dyDescent="0.3">
      <c r="A99">
        <v>85.891348088531103</v>
      </c>
      <c r="B99">
        <v>33.989501312335904</v>
      </c>
      <c r="C99" s="1">
        <f>Params!$B$1+ROUND(Madrid!A99,0)</f>
        <v>44768</v>
      </c>
      <c r="D99">
        <f t="shared" si="4"/>
        <v>34</v>
      </c>
    </row>
    <row r="100" spans="1:4" x14ac:dyDescent="0.3">
      <c r="A100">
        <v>86.909456740442593</v>
      </c>
      <c r="B100">
        <v>48.950131233595798</v>
      </c>
      <c r="C100" s="1">
        <f>Params!$B$1+ROUND(Madrid!A100,0)</f>
        <v>44769</v>
      </c>
      <c r="D100">
        <f t="shared" si="4"/>
        <v>49</v>
      </c>
    </row>
    <row r="101" spans="1:4" x14ac:dyDescent="0.3">
      <c r="A101">
        <v>87.835010060362194</v>
      </c>
      <c r="B101">
        <v>33.989501312335904</v>
      </c>
      <c r="C101" s="1">
        <f>Params!$B$1+ROUND(Madrid!A101,0)</f>
        <v>44770</v>
      </c>
      <c r="D101">
        <f t="shared" si="4"/>
        <v>34</v>
      </c>
    </row>
    <row r="102" spans="1:4" x14ac:dyDescent="0.3">
      <c r="A102">
        <v>88.945674044265601</v>
      </c>
      <c r="B102">
        <v>41.076115485564301</v>
      </c>
      <c r="C102" s="1">
        <f>Params!$B$1+ROUND(Madrid!A102,0)</f>
        <v>44771</v>
      </c>
      <c r="D102">
        <f t="shared" si="4"/>
        <v>41</v>
      </c>
    </row>
    <row r="103" spans="1:4" x14ac:dyDescent="0.3">
      <c r="A103">
        <v>89.963782696177006</v>
      </c>
      <c r="B103">
        <v>40.026246719160099</v>
      </c>
      <c r="C103" s="1">
        <f>Params!$B$1+ROUND(Madrid!A103,0)</f>
        <v>44772</v>
      </c>
      <c r="D103">
        <f t="shared" si="4"/>
        <v>40</v>
      </c>
    </row>
    <row r="104" spans="1:4" x14ac:dyDescent="0.3">
      <c r="A104">
        <v>90.889336016096493</v>
      </c>
      <c r="B104">
        <v>35.039370078740099</v>
      </c>
      <c r="C104" s="1">
        <f>Params!$B$1+ROUND(Madrid!A104,0)</f>
        <v>44773</v>
      </c>
      <c r="D104">
        <f t="shared" si="4"/>
        <v>35</v>
      </c>
    </row>
    <row r="105" spans="1:4" x14ac:dyDescent="0.3">
      <c r="A105">
        <v>91.907444668007997</v>
      </c>
      <c r="B105">
        <v>31.1023622047244</v>
      </c>
      <c r="C105" s="1">
        <f>Params!$B$1+ROUND(Madrid!A105,0)</f>
        <v>44774</v>
      </c>
      <c r="D105">
        <f t="shared" si="4"/>
        <v>31</v>
      </c>
    </row>
    <row r="106" spans="1:4" x14ac:dyDescent="0.3">
      <c r="A106">
        <v>93.018108651911405</v>
      </c>
      <c r="B106">
        <v>28.083989501312299</v>
      </c>
      <c r="C106" s="1">
        <f>Params!$B$1+ROUND(Madrid!A106,0)</f>
        <v>44775</v>
      </c>
      <c r="D106">
        <f t="shared" si="4"/>
        <v>28</v>
      </c>
    </row>
    <row r="107" spans="1:4" x14ac:dyDescent="0.3">
      <c r="A107">
        <v>93.943661971831006</v>
      </c>
      <c r="B107">
        <v>26.1154855643044</v>
      </c>
      <c r="C107" s="1">
        <f>Params!$B$1+ROUND(Madrid!A107,0)</f>
        <v>44776</v>
      </c>
      <c r="D107">
        <f t="shared" si="4"/>
        <v>26</v>
      </c>
    </row>
    <row r="108" spans="1:4" x14ac:dyDescent="0.3">
      <c r="A108">
        <v>94.869215291750507</v>
      </c>
      <c r="B108">
        <v>17.979002624671899</v>
      </c>
      <c r="C108" s="1">
        <f>Params!$B$1+ROUND(Madrid!A108,0)</f>
        <v>44777</v>
      </c>
      <c r="D108">
        <f t="shared" si="4"/>
        <v>18</v>
      </c>
    </row>
    <row r="109" spans="1:4" x14ac:dyDescent="0.3">
      <c r="A109">
        <v>95.887323943661897</v>
      </c>
      <c r="B109">
        <v>16.141732283464499</v>
      </c>
      <c r="C109" s="1">
        <f>Params!$B$1+ROUND(Madrid!A109,0)</f>
        <v>44778</v>
      </c>
      <c r="D109">
        <f t="shared" si="4"/>
        <v>16</v>
      </c>
    </row>
    <row r="110" spans="1:4" x14ac:dyDescent="0.3">
      <c r="A110">
        <v>96.905432595573401</v>
      </c>
      <c r="B110">
        <v>6.2992125984252096</v>
      </c>
      <c r="C110" s="1">
        <f>Params!$B$1+ROUND(Madrid!A110,0)</f>
        <v>44779</v>
      </c>
      <c r="D110">
        <f t="shared" si="4"/>
        <v>6</v>
      </c>
    </row>
    <row r="111" spans="1:4" x14ac:dyDescent="0.3">
      <c r="A111">
        <v>97.923541247484906</v>
      </c>
      <c r="B111">
        <v>6.1679790026246897</v>
      </c>
      <c r="C111" s="1">
        <f>Params!$B$1+ROUND(Madrid!A111,0)</f>
        <v>44780</v>
      </c>
      <c r="D111">
        <f t="shared" si="4"/>
        <v>6</v>
      </c>
    </row>
    <row r="112" spans="1:4" x14ac:dyDescent="0.3">
      <c r="A112">
        <v>98.941649899396396</v>
      </c>
      <c r="B112">
        <v>8.9238845144356809</v>
      </c>
      <c r="C112" s="1">
        <f>Params!$B$1+ROUND(Madrid!A112,0)</f>
        <v>44781</v>
      </c>
      <c r="D112">
        <f t="shared" si="4"/>
        <v>9</v>
      </c>
    </row>
    <row r="113" spans="1:4" x14ac:dyDescent="0.3">
      <c r="A113">
        <v>99.9597585513078</v>
      </c>
      <c r="B113">
        <v>6.0367454068241297</v>
      </c>
      <c r="C113" s="1">
        <f>Params!$B$1+ROUND(Madrid!A113,0)</f>
        <v>44782</v>
      </c>
      <c r="D113">
        <f t="shared" si="4"/>
        <v>6</v>
      </c>
    </row>
    <row r="114" spans="1:4" x14ac:dyDescent="0.3">
      <c r="A114">
        <v>100.885311871227</v>
      </c>
      <c r="B114">
        <v>2.0997375328083701</v>
      </c>
      <c r="C114" s="1">
        <f>Params!$B$1+ROUND(Madrid!A114,0)</f>
        <v>44783</v>
      </c>
      <c r="D114">
        <f t="shared" si="4"/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E46A-32CF-4E0B-A9A6-D8669E125C83}">
  <dimension ref="A1:D94"/>
  <sheetViews>
    <sheetView topLeftCell="A81" workbookViewId="0">
      <selection activeCell="E94" sqref="E1:E94"/>
    </sheetView>
  </sheetViews>
  <sheetFormatPr defaultRowHeight="14.4" x14ac:dyDescent="0.3"/>
  <cols>
    <col min="3" max="3" width="10.33203125" bestFit="1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3</v>
      </c>
    </row>
    <row r="2" spans="1:4" x14ac:dyDescent="0.3">
      <c r="A2">
        <v>-5.0905432595573403</v>
      </c>
      <c r="B2">
        <v>1.9685039370078801</v>
      </c>
      <c r="C2" s="1">
        <f>Params!$B$1+ROUND(BCN!A2,0)</f>
        <v>44677</v>
      </c>
      <c r="D2">
        <f>ROUND(B2,0)</f>
        <v>2</v>
      </c>
    </row>
    <row r="3" spans="1:4" x14ac:dyDescent="0.3">
      <c r="A3">
        <v>-1.0181086519114599</v>
      </c>
      <c r="B3">
        <v>6.1679790026246897</v>
      </c>
      <c r="C3" s="1">
        <f>Params!$B$1+ROUND(BCN!A3,0)</f>
        <v>44681</v>
      </c>
      <c r="D3">
        <f t="shared" ref="D3:D66" si="0">ROUND(B3,0)</f>
        <v>6</v>
      </c>
    </row>
    <row r="4" spans="1:4" x14ac:dyDescent="0.3">
      <c r="A4">
        <v>6.0160965794768604</v>
      </c>
      <c r="B4">
        <v>13.1233595800524</v>
      </c>
      <c r="C4" s="1">
        <f>Params!$B$1+ROUND(BCN!A4,0)</f>
        <v>44688</v>
      </c>
      <c r="D4">
        <f t="shared" si="0"/>
        <v>13</v>
      </c>
    </row>
    <row r="5" spans="1:4" x14ac:dyDescent="0.3">
      <c r="A5">
        <v>7.0342052313883299</v>
      </c>
      <c r="B5">
        <v>9.0551181102362008</v>
      </c>
      <c r="C5" s="1">
        <f>Params!$B$1+ROUND(BCN!A5,0)</f>
        <v>44689</v>
      </c>
      <c r="D5">
        <f t="shared" si="0"/>
        <v>9</v>
      </c>
    </row>
    <row r="6" spans="1:4" x14ac:dyDescent="0.3">
      <c r="A6">
        <v>9.0704225352112609</v>
      </c>
      <c r="B6">
        <v>20.078740157480301</v>
      </c>
      <c r="C6" s="1">
        <f>Params!$B$1+ROUND(BCN!A6,0)</f>
        <v>44691</v>
      </c>
      <c r="D6">
        <f t="shared" si="0"/>
        <v>20</v>
      </c>
    </row>
    <row r="7" spans="1:4" x14ac:dyDescent="0.3">
      <c r="A7">
        <v>11.014084507042201</v>
      </c>
      <c r="B7">
        <v>17.060367454068199</v>
      </c>
      <c r="C7" s="1">
        <f>Params!$B$1+ROUND(BCN!A7,0)</f>
        <v>44693</v>
      </c>
      <c r="D7">
        <f t="shared" si="0"/>
        <v>17</v>
      </c>
    </row>
    <row r="8" spans="1:4" x14ac:dyDescent="0.3">
      <c r="A8">
        <v>12.032193158953699</v>
      </c>
      <c r="B8">
        <v>20.078740157480301</v>
      </c>
      <c r="C8" s="1">
        <f>Params!$B$1+ROUND(BCN!A8,0)</f>
        <v>44694</v>
      </c>
      <c r="D8">
        <f t="shared" si="0"/>
        <v>20</v>
      </c>
    </row>
    <row r="9" spans="1:4" x14ac:dyDescent="0.3">
      <c r="A9">
        <v>12.957746478873201</v>
      </c>
      <c r="B9">
        <v>17.191601049868702</v>
      </c>
      <c r="C9" s="1">
        <f>Params!$B$1+ROUND(BCN!A9,0)</f>
        <v>44695</v>
      </c>
      <c r="D9">
        <f t="shared" si="0"/>
        <v>17</v>
      </c>
    </row>
    <row r="10" spans="1:4" x14ac:dyDescent="0.3">
      <c r="A10">
        <v>14.068410462776599</v>
      </c>
      <c r="B10">
        <v>11.1548556430446</v>
      </c>
      <c r="C10" s="1">
        <f>Params!$B$1+ROUND(BCN!A10,0)</f>
        <v>44696</v>
      </c>
      <c r="D10">
        <f t="shared" si="0"/>
        <v>11</v>
      </c>
    </row>
    <row r="11" spans="1:4" x14ac:dyDescent="0.3">
      <c r="A11">
        <v>14.993963782696101</v>
      </c>
      <c r="B11">
        <v>25.065616797900201</v>
      </c>
      <c r="C11" s="1">
        <f>Params!$B$1+ROUND(BCN!A11,0)</f>
        <v>44697</v>
      </c>
      <c r="D11">
        <f t="shared" si="0"/>
        <v>25</v>
      </c>
    </row>
    <row r="12" spans="1:4" x14ac:dyDescent="0.3">
      <c r="A12">
        <v>15.9195171026156</v>
      </c>
      <c r="B12">
        <v>10.1049868766404</v>
      </c>
      <c r="C12" s="1">
        <f>Params!$B$1+ROUND(BCN!A12,0)</f>
        <v>44698</v>
      </c>
      <c r="D12">
        <f t="shared" si="0"/>
        <v>10</v>
      </c>
    </row>
    <row r="13" spans="1:4" x14ac:dyDescent="0.3">
      <c r="A13">
        <v>17.955734406438602</v>
      </c>
      <c r="B13">
        <v>17.060367454068199</v>
      </c>
      <c r="C13" s="1">
        <f>Params!$B$1+ROUND(BCN!A13,0)</f>
        <v>44700</v>
      </c>
      <c r="D13">
        <f t="shared" si="0"/>
        <v>17</v>
      </c>
    </row>
    <row r="14" spans="1:4" x14ac:dyDescent="0.3">
      <c r="A14">
        <v>18.973843058350099</v>
      </c>
      <c r="B14">
        <v>13.1233595800524</v>
      </c>
      <c r="C14" s="1">
        <f>Params!$B$1+ROUND(BCN!A14,0)</f>
        <v>44701</v>
      </c>
      <c r="D14">
        <f t="shared" si="0"/>
        <v>13</v>
      </c>
    </row>
    <row r="15" spans="1:4" x14ac:dyDescent="0.3">
      <c r="A15">
        <v>19.9919517102615</v>
      </c>
      <c r="B15">
        <v>24.146981627296501</v>
      </c>
      <c r="C15" s="1">
        <f>Params!$B$1+ROUND(BCN!A15,0)</f>
        <v>44702</v>
      </c>
      <c r="D15">
        <f t="shared" si="0"/>
        <v>24</v>
      </c>
    </row>
    <row r="16" spans="1:4" x14ac:dyDescent="0.3">
      <c r="A16">
        <v>21.010060362173</v>
      </c>
      <c r="B16">
        <v>31.1023622047244</v>
      </c>
      <c r="C16" s="1">
        <f>Params!$B$1+ROUND(BCN!A16,0)</f>
        <v>44703</v>
      </c>
      <c r="D16">
        <f t="shared" si="0"/>
        <v>31</v>
      </c>
    </row>
    <row r="17" spans="1:4" x14ac:dyDescent="0.3">
      <c r="A17">
        <v>22.028169014084501</v>
      </c>
      <c r="B17">
        <v>52.099737532808398</v>
      </c>
      <c r="C17" s="1">
        <f>Params!$B$1+ROUND(BCN!A17,0)</f>
        <v>44704</v>
      </c>
      <c r="D17">
        <f t="shared" si="0"/>
        <v>52</v>
      </c>
    </row>
    <row r="18" spans="1:4" x14ac:dyDescent="0.3">
      <c r="A18">
        <v>23.046277665995898</v>
      </c>
      <c r="B18">
        <v>31.1023622047244</v>
      </c>
      <c r="C18" s="1">
        <f>Params!$B$1+ROUND(BCN!A18,0)</f>
        <v>44705</v>
      </c>
      <c r="D18">
        <f t="shared" si="0"/>
        <v>31</v>
      </c>
    </row>
    <row r="19" spans="1:4" x14ac:dyDescent="0.3">
      <c r="A19">
        <v>23.971830985915499</v>
      </c>
      <c r="B19">
        <v>40.9448818897637</v>
      </c>
      <c r="C19" s="1">
        <f>Params!$B$1+ROUND(BCN!A19,0)</f>
        <v>44706</v>
      </c>
      <c r="D19">
        <f t="shared" si="0"/>
        <v>41</v>
      </c>
    </row>
    <row r="20" spans="1:4" x14ac:dyDescent="0.3">
      <c r="A20">
        <v>24.9899396378269</v>
      </c>
      <c r="B20">
        <v>24.146981627296501</v>
      </c>
      <c r="C20" s="1">
        <f>Params!$B$1+ROUND(BCN!A20,0)</f>
        <v>44707</v>
      </c>
      <c r="D20">
        <f t="shared" si="0"/>
        <v>24</v>
      </c>
    </row>
    <row r="21" spans="1:4" x14ac:dyDescent="0.3">
      <c r="A21">
        <v>26.008048289738401</v>
      </c>
      <c r="B21">
        <v>35.039370078740099</v>
      </c>
      <c r="C21" s="1">
        <f>Params!$B$1+ROUND(BCN!A21,0)</f>
        <v>44708</v>
      </c>
      <c r="D21">
        <f t="shared" si="0"/>
        <v>35</v>
      </c>
    </row>
    <row r="22" spans="1:4" x14ac:dyDescent="0.3">
      <c r="A22">
        <v>26.933601609657899</v>
      </c>
      <c r="B22">
        <v>39.107611548556399</v>
      </c>
      <c r="C22" s="1">
        <f>Params!$B$1+ROUND(BCN!A22,0)</f>
        <v>44709</v>
      </c>
      <c r="D22">
        <f t="shared" si="0"/>
        <v>39</v>
      </c>
    </row>
    <row r="23" spans="1:4" x14ac:dyDescent="0.3">
      <c r="A23">
        <v>27.951710261569399</v>
      </c>
      <c r="B23">
        <v>45.01312335958</v>
      </c>
      <c r="C23" s="1">
        <f>Params!$B$1+ROUND(BCN!A23,0)</f>
        <v>44710</v>
      </c>
      <c r="D23">
        <f t="shared" si="0"/>
        <v>45</v>
      </c>
    </row>
    <row r="24" spans="1:4" x14ac:dyDescent="0.3">
      <c r="A24">
        <v>29.0623742454728</v>
      </c>
      <c r="B24">
        <v>44.0944881889763</v>
      </c>
      <c r="C24" s="1">
        <f>Params!$B$1+ROUND(BCN!A24,0)</f>
        <v>44711</v>
      </c>
      <c r="D24">
        <f t="shared" si="0"/>
        <v>44</v>
      </c>
    </row>
    <row r="25" spans="1:4" x14ac:dyDescent="0.3">
      <c r="A25">
        <v>29.987927565392301</v>
      </c>
      <c r="B25">
        <v>44.0944881889763</v>
      </c>
      <c r="C25" s="1">
        <f>Params!$B$1+ROUND(BCN!A25,0)</f>
        <v>44712</v>
      </c>
      <c r="D25">
        <f t="shared" si="0"/>
        <v>44</v>
      </c>
    </row>
    <row r="26" spans="1:4" x14ac:dyDescent="0.3">
      <c r="A26">
        <v>31.006036217303802</v>
      </c>
      <c r="B26">
        <v>48.031496062992098</v>
      </c>
      <c r="C26" s="1">
        <f>Params!$B$1+ROUND(BCN!A26,0)</f>
        <v>44713</v>
      </c>
      <c r="D26">
        <f t="shared" si="0"/>
        <v>48</v>
      </c>
    </row>
    <row r="27" spans="1:4" x14ac:dyDescent="0.3">
      <c r="A27">
        <v>31.931589537223299</v>
      </c>
      <c r="B27">
        <v>48.950131233595798</v>
      </c>
      <c r="C27" s="1">
        <f>Params!$B$1+ROUND(BCN!A27,0)</f>
        <v>44714</v>
      </c>
      <c r="D27">
        <f t="shared" si="0"/>
        <v>49</v>
      </c>
    </row>
    <row r="28" spans="1:4" x14ac:dyDescent="0.3">
      <c r="A28">
        <v>33.042253521126703</v>
      </c>
      <c r="B28">
        <v>59.055118110236201</v>
      </c>
      <c r="C28" s="1">
        <f>Params!$B$1+ROUND(BCN!A28,0)</f>
        <v>44715</v>
      </c>
      <c r="D28">
        <f t="shared" si="0"/>
        <v>59</v>
      </c>
    </row>
    <row r="29" spans="1:4" x14ac:dyDescent="0.3">
      <c r="A29">
        <v>34.0603621730382</v>
      </c>
      <c r="B29">
        <v>77.0341207349081</v>
      </c>
      <c r="C29" s="1">
        <f>Params!$B$1+ROUND(BCN!A29,0)</f>
        <v>44716</v>
      </c>
      <c r="D29">
        <f t="shared" si="0"/>
        <v>77</v>
      </c>
    </row>
    <row r="30" spans="1:4" x14ac:dyDescent="0.3">
      <c r="A30">
        <v>34.985915492957702</v>
      </c>
      <c r="B30">
        <v>45.01312335958</v>
      </c>
      <c r="C30" s="1">
        <f>Params!$B$1+ROUND(BCN!A30,0)</f>
        <v>44717</v>
      </c>
      <c r="D30">
        <f t="shared" si="0"/>
        <v>45</v>
      </c>
    </row>
    <row r="31" spans="1:4" x14ac:dyDescent="0.3">
      <c r="A31">
        <v>36.004024144869199</v>
      </c>
      <c r="B31">
        <v>59.055118110236201</v>
      </c>
      <c r="C31" s="1">
        <f>Params!$B$1+ROUND(BCN!A31,0)</f>
        <v>44718</v>
      </c>
      <c r="D31">
        <f t="shared" si="0"/>
        <v>59</v>
      </c>
    </row>
    <row r="32" spans="1:4" x14ac:dyDescent="0.3">
      <c r="A32">
        <v>37.022132796780603</v>
      </c>
      <c r="B32">
        <v>69.028871391076095</v>
      </c>
      <c r="C32" s="1">
        <f>Params!$B$1+ROUND(BCN!A32,0)</f>
        <v>44719</v>
      </c>
      <c r="D32">
        <f t="shared" si="0"/>
        <v>69</v>
      </c>
    </row>
    <row r="33" spans="1:4" x14ac:dyDescent="0.3">
      <c r="A33">
        <v>38.0402414486921</v>
      </c>
      <c r="B33">
        <v>76.115485564304393</v>
      </c>
      <c r="C33" s="1">
        <f>Params!$B$1+ROUND(BCN!A33,0)</f>
        <v>44720</v>
      </c>
      <c r="D33">
        <f t="shared" si="0"/>
        <v>76</v>
      </c>
    </row>
    <row r="34" spans="1:4" x14ac:dyDescent="0.3">
      <c r="A34">
        <v>39.058350100603597</v>
      </c>
      <c r="B34">
        <v>70.078740157480297</v>
      </c>
      <c r="C34" s="1">
        <f>Params!$B$1+ROUND(BCN!A34,0)</f>
        <v>44721</v>
      </c>
      <c r="D34">
        <f t="shared" si="0"/>
        <v>70</v>
      </c>
    </row>
    <row r="35" spans="1:4" x14ac:dyDescent="0.3">
      <c r="A35">
        <v>39.983903420523099</v>
      </c>
      <c r="B35">
        <v>72.9658792650918</v>
      </c>
      <c r="C35" s="1">
        <f>Params!$B$1+ROUND(BCN!A35,0)</f>
        <v>44722</v>
      </c>
      <c r="D35">
        <f t="shared" si="0"/>
        <v>73</v>
      </c>
    </row>
    <row r="36" spans="1:4" x14ac:dyDescent="0.3">
      <c r="A36">
        <v>41.002012072434603</v>
      </c>
      <c r="B36">
        <v>93.044619422572097</v>
      </c>
      <c r="C36" s="1">
        <f>Params!$B$1+ROUND(BCN!A36,0)</f>
        <v>44723</v>
      </c>
      <c r="D36">
        <f t="shared" si="0"/>
        <v>93</v>
      </c>
    </row>
    <row r="37" spans="1:4" x14ac:dyDescent="0.3">
      <c r="A37">
        <v>41.927565392354097</v>
      </c>
      <c r="B37">
        <v>86.089238845144294</v>
      </c>
      <c r="C37" s="1">
        <f>Params!$B$1+ROUND(BCN!A37,0)</f>
        <v>44724</v>
      </c>
      <c r="D37">
        <f t="shared" si="0"/>
        <v>86</v>
      </c>
    </row>
    <row r="38" spans="1:4" x14ac:dyDescent="0.3">
      <c r="A38">
        <v>43.038229376257497</v>
      </c>
      <c r="B38">
        <v>82.020997375327994</v>
      </c>
      <c r="C38" s="1">
        <f>Params!$B$1+ROUND(BCN!A38,0)</f>
        <v>44725</v>
      </c>
      <c r="D38">
        <f t="shared" si="0"/>
        <v>82</v>
      </c>
    </row>
    <row r="39" spans="1:4" x14ac:dyDescent="0.3">
      <c r="A39">
        <v>43.963782696176999</v>
      </c>
      <c r="B39">
        <v>83.070866141732296</v>
      </c>
      <c r="C39" s="1">
        <f>Params!$B$1+ROUND(BCN!A39,0)</f>
        <v>44726</v>
      </c>
      <c r="D39">
        <f t="shared" si="0"/>
        <v>83</v>
      </c>
    </row>
    <row r="40" spans="1:4" x14ac:dyDescent="0.3">
      <c r="A40">
        <v>44.981891348088503</v>
      </c>
      <c r="B40">
        <v>88.976377952755897</v>
      </c>
      <c r="C40" s="1">
        <f>Params!$B$1+ROUND(BCN!A40,0)</f>
        <v>44727</v>
      </c>
      <c r="D40">
        <f t="shared" si="0"/>
        <v>89</v>
      </c>
    </row>
    <row r="41" spans="1:4" x14ac:dyDescent="0.3">
      <c r="A41">
        <v>46</v>
      </c>
      <c r="B41">
        <v>83.070866141732296</v>
      </c>
      <c r="C41" s="1">
        <f>Params!$B$1+ROUND(BCN!A41,0)</f>
        <v>44728</v>
      </c>
      <c r="D41">
        <f t="shared" si="0"/>
        <v>83</v>
      </c>
    </row>
    <row r="42" spans="1:4" x14ac:dyDescent="0.3">
      <c r="A42">
        <v>47.018108651911398</v>
      </c>
      <c r="B42">
        <v>85.039370078740106</v>
      </c>
      <c r="C42" s="1">
        <f>Params!$B$1+ROUND(BCN!A42,0)</f>
        <v>44729</v>
      </c>
      <c r="D42">
        <f t="shared" si="0"/>
        <v>85</v>
      </c>
    </row>
    <row r="43" spans="1:4" x14ac:dyDescent="0.3">
      <c r="A43">
        <v>47.943661971830899</v>
      </c>
      <c r="B43">
        <v>108.00524934383201</v>
      </c>
      <c r="C43" s="1">
        <f>Params!$B$1+ROUND(BCN!A43,0)</f>
        <v>44730</v>
      </c>
      <c r="D43">
        <f t="shared" si="0"/>
        <v>108</v>
      </c>
    </row>
    <row r="44" spans="1:4" x14ac:dyDescent="0.3">
      <c r="A44">
        <v>48.961770623742403</v>
      </c>
      <c r="B44">
        <v>104.986876640419</v>
      </c>
      <c r="C44" s="1">
        <f>Params!$B$1+ROUND(BCN!A44,0)</f>
        <v>44731</v>
      </c>
      <c r="D44">
        <f t="shared" si="0"/>
        <v>105</v>
      </c>
    </row>
    <row r="45" spans="1:4" x14ac:dyDescent="0.3">
      <c r="A45">
        <v>49.887323943661897</v>
      </c>
      <c r="B45">
        <v>85.039370078740106</v>
      </c>
      <c r="C45" s="1">
        <f>Params!$B$1+ROUND(BCN!A45,0)</f>
        <v>44732</v>
      </c>
      <c r="D45">
        <f t="shared" si="0"/>
        <v>85</v>
      </c>
    </row>
    <row r="46" spans="1:4" x14ac:dyDescent="0.3">
      <c r="A46">
        <v>50.997987927565397</v>
      </c>
      <c r="B46">
        <v>93.963254593175805</v>
      </c>
      <c r="C46" s="1">
        <f>Params!$B$1+ROUND(BCN!A46,0)</f>
        <v>44733</v>
      </c>
      <c r="D46">
        <f t="shared" si="0"/>
        <v>94</v>
      </c>
    </row>
    <row r="47" spans="1:4" x14ac:dyDescent="0.3">
      <c r="A47">
        <v>51.923541247484899</v>
      </c>
      <c r="B47">
        <v>106.95538057742699</v>
      </c>
      <c r="C47" s="1">
        <f>Params!$B$1+ROUND(BCN!A47,0)</f>
        <v>44734</v>
      </c>
      <c r="D47">
        <f t="shared" si="0"/>
        <v>107</v>
      </c>
    </row>
    <row r="48" spans="1:4" x14ac:dyDescent="0.3">
      <c r="A48">
        <v>52.941649899396303</v>
      </c>
      <c r="B48">
        <v>79.133858267716505</v>
      </c>
      <c r="C48" s="1">
        <f>Params!$B$1+ROUND(BCN!A48,0)</f>
        <v>44735</v>
      </c>
      <c r="D48">
        <f t="shared" si="0"/>
        <v>79</v>
      </c>
    </row>
    <row r="49" spans="1:4" x14ac:dyDescent="0.3">
      <c r="A49">
        <v>54.052313883299803</v>
      </c>
      <c r="B49">
        <v>83.070866141732296</v>
      </c>
      <c r="C49" s="1">
        <f>Params!$B$1+ROUND(BCN!A49,0)</f>
        <v>44736</v>
      </c>
      <c r="D49">
        <f t="shared" si="0"/>
        <v>83</v>
      </c>
    </row>
    <row r="50" spans="1:4" x14ac:dyDescent="0.3">
      <c r="A50">
        <v>54.977867203219297</v>
      </c>
      <c r="B50">
        <v>129.92125984251899</v>
      </c>
      <c r="C50" s="1">
        <f>Params!$B$1+ROUND(BCN!A50,0)</f>
        <v>44737</v>
      </c>
      <c r="D50">
        <f t="shared" si="0"/>
        <v>130</v>
      </c>
    </row>
    <row r="51" spans="1:4" x14ac:dyDescent="0.3">
      <c r="A51">
        <v>55.903420523138799</v>
      </c>
      <c r="B51">
        <v>126.90288713910699</v>
      </c>
      <c r="C51" s="1">
        <f>Params!$B$1+ROUND(BCN!A51,0)</f>
        <v>44738</v>
      </c>
      <c r="D51">
        <f t="shared" si="0"/>
        <v>127</v>
      </c>
    </row>
    <row r="52" spans="1:4" x14ac:dyDescent="0.3">
      <c r="A52">
        <v>56.921529175050303</v>
      </c>
      <c r="B52">
        <v>118.897637795275</v>
      </c>
      <c r="C52" s="1">
        <f>Params!$B$1+ROUND(BCN!A52,0)</f>
        <v>44739</v>
      </c>
      <c r="D52">
        <f t="shared" si="0"/>
        <v>119</v>
      </c>
    </row>
    <row r="53" spans="1:4" x14ac:dyDescent="0.3">
      <c r="A53">
        <v>58.032193158953703</v>
      </c>
      <c r="B53">
        <v>132.02099737532799</v>
      </c>
      <c r="C53" s="1">
        <f>Params!$B$1+ROUND(BCN!A53,0)</f>
        <v>44740</v>
      </c>
      <c r="D53">
        <f t="shared" si="0"/>
        <v>132</v>
      </c>
    </row>
    <row r="54" spans="1:4" x14ac:dyDescent="0.3">
      <c r="A54">
        <v>59.0503018108652</v>
      </c>
      <c r="B54">
        <v>104.068241469816</v>
      </c>
      <c r="C54" s="1">
        <f>Params!$B$1+ROUND(BCN!A54,0)</f>
        <v>44741</v>
      </c>
      <c r="D54">
        <f t="shared" si="0"/>
        <v>104</v>
      </c>
    </row>
    <row r="55" spans="1:4" x14ac:dyDescent="0.3">
      <c r="A55">
        <v>59.975855130784701</v>
      </c>
      <c r="B55">
        <v>88.976377952755897</v>
      </c>
      <c r="C55" s="1">
        <f>Params!$B$1+ROUND(BCN!A55,0)</f>
        <v>44742</v>
      </c>
      <c r="D55">
        <f t="shared" si="0"/>
        <v>89</v>
      </c>
    </row>
    <row r="56" spans="1:4" x14ac:dyDescent="0.3">
      <c r="A56">
        <v>60.993963782696099</v>
      </c>
      <c r="B56">
        <v>104.986876640419</v>
      </c>
      <c r="C56" s="1">
        <f>Params!$B$1+ROUND(BCN!A56,0)</f>
        <v>44743</v>
      </c>
      <c r="D56">
        <f t="shared" si="0"/>
        <v>105</v>
      </c>
    </row>
    <row r="57" spans="1:4" x14ac:dyDescent="0.3">
      <c r="A57">
        <v>62.012072434607603</v>
      </c>
      <c r="B57">
        <v>125.06561679790001</v>
      </c>
      <c r="C57" s="1">
        <f>Params!$B$1+ROUND(BCN!A57,0)</f>
        <v>44744</v>
      </c>
      <c r="D57">
        <f t="shared" si="0"/>
        <v>125</v>
      </c>
    </row>
    <row r="58" spans="1:4" x14ac:dyDescent="0.3">
      <c r="A58">
        <v>62.937625754527097</v>
      </c>
      <c r="B58">
        <v>119.94750656167901</v>
      </c>
      <c r="C58" s="1">
        <f>Params!$B$1+ROUND(BCN!A58,0)</f>
        <v>44745</v>
      </c>
      <c r="D58">
        <f t="shared" si="0"/>
        <v>120</v>
      </c>
    </row>
    <row r="59" spans="1:4" x14ac:dyDescent="0.3">
      <c r="A59">
        <v>63.955734406438602</v>
      </c>
      <c r="B59">
        <v>91.076115485564301</v>
      </c>
      <c r="C59" s="1">
        <f>Params!$B$1+ROUND(BCN!A59,0)</f>
        <v>44746</v>
      </c>
      <c r="D59">
        <f t="shared" si="0"/>
        <v>91</v>
      </c>
    </row>
    <row r="60" spans="1:4" x14ac:dyDescent="0.3">
      <c r="A60">
        <v>64.973843058350099</v>
      </c>
      <c r="B60">
        <v>113.123359580052</v>
      </c>
      <c r="C60" s="1">
        <f>Params!$B$1+ROUND(BCN!A60,0)</f>
        <v>44747</v>
      </c>
      <c r="D60">
        <f t="shared" si="0"/>
        <v>113</v>
      </c>
    </row>
    <row r="61" spans="1:4" x14ac:dyDescent="0.3">
      <c r="A61">
        <v>65.991951710261503</v>
      </c>
      <c r="B61">
        <v>124.015748031496</v>
      </c>
      <c r="C61" s="1">
        <f>Params!$B$1+ROUND(BCN!A61,0)</f>
        <v>44748</v>
      </c>
      <c r="D61">
        <f t="shared" si="0"/>
        <v>124</v>
      </c>
    </row>
    <row r="62" spans="1:4" x14ac:dyDescent="0.3">
      <c r="A62">
        <v>67.010060362172993</v>
      </c>
      <c r="B62">
        <v>98.031496062992105</v>
      </c>
      <c r="C62" s="1">
        <f>Params!$B$1+ROUND(BCN!A62,0)</f>
        <v>44749</v>
      </c>
      <c r="D62">
        <f t="shared" si="0"/>
        <v>98</v>
      </c>
    </row>
    <row r="63" spans="1:4" x14ac:dyDescent="0.3">
      <c r="A63">
        <v>67.935613682092495</v>
      </c>
      <c r="B63">
        <v>86.089238845144294</v>
      </c>
      <c r="C63" s="1">
        <f>Params!$B$1+ROUND(BCN!A63,0)</f>
        <v>44750</v>
      </c>
      <c r="D63">
        <f t="shared" si="0"/>
        <v>86</v>
      </c>
    </row>
    <row r="64" spans="1:4" x14ac:dyDescent="0.3">
      <c r="A64">
        <v>69.046277665996001</v>
      </c>
      <c r="B64">
        <v>137.92650918635101</v>
      </c>
      <c r="C64" s="1">
        <f>Params!$B$1+ROUND(BCN!A64,0)</f>
        <v>44751</v>
      </c>
      <c r="D64">
        <f t="shared" si="0"/>
        <v>138</v>
      </c>
    </row>
    <row r="65" spans="1:4" x14ac:dyDescent="0.3">
      <c r="A65">
        <v>69.971830985915503</v>
      </c>
      <c r="B65">
        <v>103.018372703412</v>
      </c>
      <c r="C65" s="1">
        <f>Params!$B$1+ROUND(BCN!A65,0)</f>
        <v>44752</v>
      </c>
      <c r="D65">
        <f t="shared" si="0"/>
        <v>103</v>
      </c>
    </row>
    <row r="66" spans="1:4" x14ac:dyDescent="0.3">
      <c r="A66">
        <v>70.989939637826893</v>
      </c>
      <c r="B66">
        <v>127.952755905511</v>
      </c>
      <c r="C66" s="1">
        <f>Params!$B$1+ROUND(BCN!A66,0)</f>
        <v>44753</v>
      </c>
      <c r="D66">
        <f t="shared" si="0"/>
        <v>128</v>
      </c>
    </row>
    <row r="67" spans="1:4" x14ac:dyDescent="0.3">
      <c r="A67">
        <v>71.915492957746494</v>
      </c>
      <c r="B67">
        <v>88.057742782152204</v>
      </c>
      <c r="C67" s="1">
        <f>Params!$B$1+ROUND(BCN!A67,0)</f>
        <v>44754</v>
      </c>
      <c r="D67">
        <f t="shared" ref="D67:D94" si="1">ROUND(B67,0)</f>
        <v>88</v>
      </c>
    </row>
    <row r="68" spans="1:4" x14ac:dyDescent="0.3">
      <c r="A68">
        <v>72.933601609657899</v>
      </c>
      <c r="B68">
        <v>105.11811023622001</v>
      </c>
      <c r="C68" s="1">
        <f>Params!$B$1+ROUND(BCN!A68,0)</f>
        <v>44755</v>
      </c>
      <c r="D68">
        <f t="shared" si="1"/>
        <v>105</v>
      </c>
    </row>
    <row r="69" spans="1:4" x14ac:dyDescent="0.3">
      <c r="A69">
        <v>73.951710261569403</v>
      </c>
      <c r="B69">
        <v>91.994750656167895</v>
      </c>
      <c r="C69" s="1">
        <f>Params!$B$1+ROUND(BCN!A69,0)</f>
        <v>44756</v>
      </c>
      <c r="D69">
        <f t="shared" si="1"/>
        <v>92</v>
      </c>
    </row>
    <row r="70" spans="1:4" x14ac:dyDescent="0.3">
      <c r="A70">
        <v>74.969818913480793</v>
      </c>
      <c r="B70">
        <v>88.976377952755897</v>
      </c>
      <c r="C70" s="1">
        <f>Params!$B$1+ROUND(BCN!A70,0)</f>
        <v>44757</v>
      </c>
      <c r="D70">
        <f t="shared" si="1"/>
        <v>89</v>
      </c>
    </row>
    <row r="71" spans="1:4" x14ac:dyDescent="0.3">
      <c r="A71">
        <v>75.987927565392297</v>
      </c>
      <c r="B71">
        <v>111.023622047244</v>
      </c>
      <c r="C71" s="1">
        <f>Params!$B$1+ROUND(BCN!A71,0)</f>
        <v>44758</v>
      </c>
      <c r="D71">
        <f t="shared" si="1"/>
        <v>111</v>
      </c>
    </row>
    <row r="72" spans="1:4" x14ac:dyDescent="0.3">
      <c r="A72">
        <v>77.006036217303802</v>
      </c>
      <c r="B72">
        <v>76.115485564304393</v>
      </c>
      <c r="C72" s="1">
        <f>Params!$B$1+ROUND(BCN!A72,0)</f>
        <v>44759</v>
      </c>
      <c r="D72">
        <f t="shared" si="1"/>
        <v>76</v>
      </c>
    </row>
    <row r="73" spans="1:4" x14ac:dyDescent="0.3">
      <c r="A73">
        <v>77.931589537223303</v>
      </c>
      <c r="B73">
        <v>80.971128608923806</v>
      </c>
      <c r="C73" s="1">
        <f>Params!$B$1+ROUND(BCN!A73,0)</f>
        <v>44760</v>
      </c>
      <c r="D73">
        <f t="shared" si="1"/>
        <v>81</v>
      </c>
    </row>
    <row r="74" spans="1:4" x14ac:dyDescent="0.3">
      <c r="A74">
        <v>78.949698189134807</v>
      </c>
      <c r="B74">
        <v>87.007874015748001</v>
      </c>
      <c r="C74" s="1">
        <f>Params!$B$1+ROUND(BCN!A74,0)</f>
        <v>44761</v>
      </c>
      <c r="D74">
        <f t="shared" si="1"/>
        <v>87</v>
      </c>
    </row>
    <row r="75" spans="1:4" x14ac:dyDescent="0.3">
      <c r="A75">
        <v>79.875251509054294</v>
      </c>
      <c r="B75">
        <v>67.060367454068199</v>
      </c>
      <c r="C75" s="1">
        <f>Params!$B$1+ROUND(BCN!A75,0)</f>
        <v>44762</v>
      </c>
      <c r="D75">
        <f t="shared" si="1"/>
        <v>67</v>
      </c>
    </row>
    <row r="76" spans="1:4" x14ac:dyDescent="0.3">
      <c r="A76">
        <v>80.985915492957702</v>
      </c>
      <c r="B76">
        <v>57.086614173228298</v>
      </c>
      <c r="C76" s="1">
        <f>Params!$B$1+ROUND(BCN!A76,0)</f>
        <v>44763</v>
      </c>
      <c r="D76">
        <f t="shared" si="1"/>
        <v>57</v>
      </c>
    </row>
    <row r="77" spans="1:4" x14ac:dyDescent="0.3">
      <c r="A77">
        <v>81.8189134808853</v>
      </c>
      <c r="B77">
        <v>59.055118110236201</v>
      </c>
      <c r="C77" s="1">
        <f>Params!$B$1+ROUND(BCN!A77,0)</f>
        <v>44764</v>
      </c>
      <c r="D77">
        <f t="shared" si="1"/>
        <v>59</v>
      </c>
    </row>
    <row r="78" spans="1:4" x14ac:dyDescent="0.3">
      <c r="A78">
        <v>83.022132796780696</v>
      </c>
      <c r="B78">
        <v>101.968503937007</v>
      </c>
      <c r="C78" s="1">
        <f>Params!$B$1+ROUND(BCN!A78,0)</f>
        <v>44765</v>
      </c>
      <c r="D78">
        <f t="shared" si="1"/>
        <v>102</v>
      </c>
    </row>
    <row r="79" spans="1:4" x14ac:dyDescent="0.3">
      <c r="A79">
        <v>83.855130784708194</v>
      </c>
      <c r="B79">
        <v>79.002624671915996</v>
      </c>
      <c r="C79" s="1">
        <f>Params!$B$1+ROUND(BCN!A79,0)</f>
        <v>44766</v>
      </c>
      <c r="D79">
        <f t="shared" si="1"/>
        <v>79</v>
      </c>
    </row>
    <row r="80" spans="1:4" x14ac:dyDescent="0.3">
      <c r="A80">
        <v>84.965794768611602</v>
      </c>
      <c r="B80">
        <v>77.0341207349081</v>
      </c>
      <c r="C80" s="1">
        <f>Params!$B$1+ROUND(BCN!A80,0)</f>
        <v>44767</v>
      </c>
      <c r="D80">
        <f t="shared" si="1"/>
        <v>77</v>
      </c>
    </row>
    <row r="81" spans="1:4" x14ac:dyDescent="0.3">
      <c r="A81">
        <v>85.983903420523106</v>
      </c>
      <c r="B81">
        <v>45.01312335958</v>
      </c>
      <c r="C81" s="1">
        <f>Params!$B$1+ROUND(BCN!A81,0)</f>
        <v>44768</v>
      </c>
      <c r="D81">
        <f t="shared" si="1"/>
        <v>45</v>
      </c>
    </row>
    <row r="82" spans="1:4" x14ac:dyDescent="0.3">
      <c r="A82">
        <v>86.909456740442593</v>
      </c>
      <c r="B82">
        <v>53.937007874015698</v>
      </c>
      <c r="C82" s="1">
        <f>Params!$B$1+ROUND(BCN!A82,0)</f>
        <v>44769</v>
      </c>
      <c r="D82">
        <f t="shared" si="1"/>
        <v>54</v>
      </c>
    </row>
    <row r="83" spans="1:4" x14ac:dyDescent="0.3">
      <c r="A83">
        <v>87.835010060362194</v>
      </c>
      <c r="B83">
        <v>40.157480314960601</v>
      </c>
      <c r="C83" s="1">
        <f>Params!$B$1+ROUND(BCN!A83,0)</f>
        <v>44770</v>
      </c>
      <c r="D83">
        <f t="shared" si="1"/>
        <v>40</v>
      </c>
    </row>
    <row r="84" spans="1:4" x14ac:dyDescent="0.3">
      <c r="A84">
        <v>89.038229376257505</v>
      </c>
      <c r="B84">
        <v>50.131233595800502</v>
      </c>
      <c r="C84" s="1">
        <f>Params!$B$1+ROUND(BCN!A84,0)</f>
        <v>44771</v>
      </c>
      <c r="D84">
        <f t="shared" si="1"/>
        <v>50</v>
      </c>
    </row>
    <row r="85" spans="1:4" x14ac:dyDescent="0.3">
      <c r="A85">
        <v>89.871227364185103</v>
      </c>
      <c r="B85">
        <v>50.131233595800502</v>
      </c>
      <c r="C85" s="1">
        <f>Params!$B$1+ROUND(BCN!A85,0)</f>
        <v>44772</v>
      </c>
      <c r="D85">
        <f t="shared" si="1"/>
        <v>50</v>
      </c>
    </row>
    <row r="86" spans="1:4" x14ac:dyDescent="0.3">
      <c r="A86">
        <v>90.981891348088496</v>
      </c>
      <c r="B86">
        <v>41.994750656167902</v>
      </c>
      <c r="C86" s="1">
        <f>Params!$B$1+ROUND(BCN!A86,0)</f>
        <v>44773</v>
      </c>
      <c r="D86">
        <f t="shared" si="1"/>
        <v>42</v>
      </c>
    </row>
    <row r="87" spans="1:4" x14ac:dyDescent="0.3">
      <c r="A87">
        <v>91.907444668007997</v>
      </c>
      <c r="B87">
        <v>32.152230971128603</v>
      </c>
      <c r="C87" s="1">
        <f>Params!$B$1+ROUND(BCN!A87,0)</f>
        <v>44774</v>
      </c>
      <c r="D87">
        <f t="shared" si="1"/>
        <v>32</v>
      </c>
    </row>
    <row r="88" spans="1:4" x14ac:dyDescent="0.3">
      <c r="A88">
        <v>92.925553319919501</v>
      </c>
      <c r="B88">
        <v>33.070866141732203</v>
      </c>
      <c r="C88" s="1">
        <f>Params!$B$1+ROUND(BCN!A88,0)</f>
        <v>44775</v>
      </c>
      <c r="D88">
        <f t="shared" si="1"/>
        <v>33</v>
      </c>
    </row>
    <row r="89" spans="1:4" x14ac:dyDescent="0.3">
      <c r="A89">
        <v>93.943661971831006</v>
      </c>
      <c r="B89">
        <v>32.152230971128603</v>
      </c>
      <c r="C89" s="1">
        <f>Params!$B$1+ROUND(BCN!A89,0)</f>
        <v>44776</v>
      </c>
      <c r="D89">
        <f t="shared" si="1"/>
        <v>32</v>
      </c>
    </row>
    <row r="90" spans="1:4" x14ac:dyDescent="0.3">
      <c r="A90">
        <v>94.869215291750507</v>
      </c>
      <c r="B90">
        <v>19.1601049868766</v>
      </c>
      <c r="C90" s="1">
        <f>Params!$B$1+ROUND(BCN!A90,0)</f>
        <v>44777</v>
      </c>
      <c r="D90">
        <f t="shared" si="1"/>
        <v>19</v>
      </c>
    </row>
    <row r="91" spans="1:4" x14ac:dyDescent="0.3">
      <c r="A91">
        <v>95.9798792756539</v>
      </c>
      <c r="B91">
        <v>19.028871391076098</v>
      </c>
      <c r="C91" s="1">
        <f>Params!$B$1+ROUND(BCN!A91,0)</f>
        <v>44778</v>
      </c>
      <c r="D91">
        <f t="shared" si="1"/>
        <v>19</v>
      </c>
    </row>
    <row r="92" spans="1:4" x14ac:dyDescent="0.3">
      <c r="A92">
        <v>96.905432595573401</v>
      </c>
      <c r="B92">
        <v>7.0866141732283499</v>
      </c>
      <c r="C92" s="1">
        <f>Params!$B$1+ROUND(BCN!A92,0)</f>
        <v>44779</v>
      </c>
      <c r="D92">
        <f t="shared" si="1"/>
        <v>7</v>
      </c>
    </row>
    <row r="93" spans="1:4" x14ac:dyDescent="0.3">
      <c r="A93">
        <v>98.016096579476795</v>
      </c>
      <c r="B93">
        <v>9.0551181102362008</v>
      </c>
      <c r="C93" s="1">
        <f>Params!$B$1+ROUND(BCN!A93,0)</f>
        <v>44780</v>
      </c>
      <c r="D93">
        <f t="shared" si="1"/>
        <v>9</v>
      </c>
    </row>
    <row r="94" spans="1:4" x14ac:dyDescent="0.3">
      <c r="A94">
        <v>99.9597585513078</v>
      </c>
      <c r="B94">
        <v>6.9553805774278299</v>
      </c>
      <c r="C94" s="1">
        <f>Params!$B$1+ROUND(BCN!A94,0)</f>
        <v>44782</v>
      </c>
      <c r="D94">
        <f t="shared" si="1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Incidence</vt:lpstr>
      <vt:lpstr>Params</vt:lpstr>
      <vt:lpstr>Other</vt:lpstr>
      <vt:lpstr>Madrid</vt:lpstr>
      <vt:lpstr>BCN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Green</dc:creator>
  <cp:lastModifiedBy>GREEN, William Daniel</cp:lastModifiedBy>
  <dcterms:created xsi:type="dcterms:W3CDTF">2025-09-04T14:34:07Z</dcterms:created>
  <dcterms:modified xsi:type="dcterms:W3CDTF">2025-09-04T14:34:07Z</dcterms:modified>
</cp:coreProperties>
</file>